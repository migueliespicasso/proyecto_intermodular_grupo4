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ware" sheetId="1" r:id="rId4"/>
    <sheet state="visible" name="Software" sheetId="2" r:id="rId5"/>
    <sheet state="visible" name="Mobiliario" sheetId="3" r:id="rId6"/>
    <sheet state="visible" name="Presupuesto" sheetId="4" r:id="rId7"/>
  </sheets>
  <definedNames/>
  <calcPr/>
</workbook>
</file>

<file path=xl/sharedStrings.xml><?xml version="1.0" encoding="utf-8"?>
<sst xmlns="http://schemas.openxmlformats.org/spreadsheetml/2006/main" count="436" uniqueCount="332">
  <si>
    <t>Zona</t>
  </si>
  <si>
    <t>Modelo</t>
  </si>
  <si>
    <t>Caracteristicas Principales</t>
  </si>
  <si>
    <t>URL</t>
  </si>
  <si>
    <t>Taller y Reparaciones</t>
  </si>
  <si>
    <t>PC Técnico HP ProDesk 400 G9</t>
  </si>
  <si>
    <t>Intel i5-13500 (24 M de caché, hasta 4,80 GHz. 14 nucleos), 16GB RAM, SSD 512GB, Windows 11 Pro</t>
  </si>
  <si>
    <t>https://www.hp.com</t>
  </si>
  <si>
    <t>Monitor ASUS ProArt PA278QV</t>
  </si>
  <si>
    <t>27", QHD, IPS</t>
  </si>
  <si>
    <t>https://www.asus.com</t>
  </si>
  <si>
    <t>Multímetro Fluke 117</t>
  </si>
  <si>
    <t>True RMS, detección automática de voltaje</t>
  </si>
  <si>
    <t>https://www.fluke.com</t>
  </si>
  <si>
    <t>Estación de soldadura JBC CD-2BQF</t>
  </si>
  <si>
    <t>130W, control digital de temperatura</t>
  </si>
  <si>
    <t>https://www.jbctools.com</t>
  </si>
  <si>
    <t>Fuente de alimentación regulable Korad KA3005D</t>
  </si>
  <si>
    <t>0–30V / 0–5A, pantalla digital</t>
  </si>
  <si>
    <t>https://www.koradtechnology.com</t>
  </si>
  <si>
    <t>Herramientas iFixit Pro Tech Toolkit</t>
  </si>
  <si>
    <t>64 puntas, espátulas, pinzas, ventosas</t>
  </si>
  <si>
    <t>https://www.ifixit.com</t>
  </si>
  <si>
    <t>Zona de Dirección</t>
  </si>
  <si>
    <t>HP EliteDesk 800 G5 SFF</t>
  </si>
  <si>
    <t>Intel Core i7-8700 (caché de 12 M, hasta 4.60 GHz, 6 nucleos), 16GB RAM, 256GB NVMe SSD, Windows 11 Pro, DisplayPort</t>
  </si>
  <si>
    <t>https://www.info-computer.com/hp-elitedesk-800-g5-sff-core-i7-8700-32-ghz-16-gb-ddr4-256-nvme-win-11-pro-a.html</t>
  </si>
  <si>
    <t xml:space="preserve"> </t>
  </si>
  <si>
    <t>Monitor Dell UltraSharp 27" U2723DE</t>
  </si>
  <si>
    <t>27", resolución QHD 2560x1440, IPS, USB-C, altura ajustable</t>
  </si>
  <si>
    <t>https://www.dell.com/es-es/shop/monitor-dell-ultrasharp-27-con-concentrador-usb-c-u2722de/apd/210-ayuj/monitores-y-accesorios</t>
  </si>
  <si>
    <t>Teclado y ratón inalámbrico Logitech MK850 Performance</t>
  </si>
  <si>
    <t>Combo inalámbrico, ergonómico, batería de larga duración</t>
  </si>
  <si>
    <t>https://www.amazon.es/Logitech-MK850-Teclado-inal%C3%A1mbricos-Bluetooth/dp/B01MU77FQQ?ie=UTF8&amp;tag=hydes-21&amp;hvadid=722222742448&amp;hvpos=&amp;hvexid=&amp;hvnetw=g&amp;hvrand=1893242220146053392&amp;hvpone=&amp;hvptwo=&amp;hvqmt=&amp;hvdev=c&amp;ref=pd_sl_6xn3vv9nsh_e&amp;tag=&amp;ref=&amp;adgrpid=168856555574&amp;hvpone=&amp;hvptwo=&amp;hvadid=722222742448&amp;hvpos=&amp;hvnetw=g&amp;hvrand=1893242220146053392&amp;hvqmt=&amp;hvdev=c&amp;hvdvcmdl=&amp;hvlocint=&amp;hvlocphy=1005444&amp;hvtargid=dsa-1463395464853&amp;hydadcr=&amp;mcid=&amp;gad_source=1</t>
  </si>
  <si>
    <t>Recepción</t>
  </si>
  <si>
    <t>HP ProDesk 400 G6 MT</t>
  </si>
  <si>
    <t>Intel Core i5-9500 (caché de 9 M, hasta 4,40 GHz, 6 nucleos), 32GB RAM, 240GB SSD, Windows 11, DisplayPort</t>
  </si>
  <si>
    <t>https://www.pccomponentes.com/hp-prodesk-400-g6-intel-core-i5-9500-8gb-256gb-ssd?srsltid=AfmBOoo9N33WSkd4yMGNQ03gCIb1Y9kwukPli82oWnjOZ9Bmp26pFEV6</t>
  </si>
  <si>
    <t>HP V24v G5</t>
  </si>
  <si>
    <t>Monitor de 24" Full HD (1920 x 1080, 75Hz, 5ms, 16:9, AMD FreeSync, Low Blue Light, HDMI, VGA, DisplayPort, Joypad OSD, Antirreflejo, Inclinación Ajustable, Altavoces)</t>
  </si>
  <si>
    <t>https://www.amazon.es/HP-V24v-G5-DisplayPort-Antirreflejo/dp/B0B726H77N/ref=sr_1_3?dib=eyJ2IjoiMSJ9.Ezv_Smv7VvTt_V-q4_CAkQDKWoY4DIhtfiPus6oCrtqQfW8MCCw5Sj6um_VNen6N7Dh_hqR7la6YDQb1OJHtoorv2RGuAqzHokXryEHlozJGe76DCf9PciPfo6SnE-2kFMNHcpjPu6s2kF7_D6YGh2-86NygKC3YVwL5LSY9nL0DKtmJnPhuiEVVotR0dggDQyK4lk7zpcQmfIRB6GHoDvPiEYxYlv0U95xsLxRRCP1IosTt81aYYDSEsoOZtKVQOkLQzEniQAGJ6Q_V6nhbIYhY3lW-Rfn8VyTQhWhTcrA.tCWyRuXPhTHknWJFzMH9qxafznvLK9lgN2NkN_fqQ9A&amp;dib_tag=se&amp;keywords=hp+24+monitor&amp;qid=1760682763&amp;sr=8-3</t>
  </si>
  <si>
    <t>Brother MFC-J4340DWE Multifunción</t>
  </si>
  <si>
    <t>Color, WiFi, Dúplex, Fax, escaneo, impresión, copia</t>
  </si>
  <si>
    <t>https://www.pccomponentes.com/brother-ecopro-mfc-j4340dwe-multifuncion-color-wifi-duplex-fax?s_kwcid=AL!14405!3!756290339497!!!g!591255306435!&amp;gad_source=1&amp;gad_campaignid=22631771274&amp;gclid=CjwKCAjwr8LHBhBKEiwAy47uUkLsOOTDvrjshNgtrCO5JnrD7cQICui-7Xo0mFsKF7YAwLOA0ULCfxoC4aQQAvD_BwE</t>
  </si>
  <si>
    <t>Logitech MK270 Combo Teclado y Ratón Inalámbrico</t>
  </si>
  <si>
    <t>iable combinación inalámbrica con minúsculo receptor Logitech del tipo "conectar y olvidar"</t>
  </si>
  <si>
    <t>https://www.pccomponentes.com/logitech-mk270-combo-teclado-y-raton-inalambrico-para-windows-raton-compacto-8-teclas-multimedia?s_kwcid=AL!14405!3!!!!x!!&amp;gad_source=1&amp;gad_campaignid=22732311568&amp;gclid=CjwKCAjw0sfHBhB6EiwAQtv5qfFlOn-HyHPnOVUjtCSwXU41TTMlW3UFUtmJ8m8mXYY5xzWZ9UbVHhoC0RgQAvD_BwE</t>
  </si>
  <si>
    <t>Teléfono fijo inalámbrico Panasonic KX-TGB610SPB</t>
  </si>
  <si>
    <t>Inalámbrico, identificador de llamadas, manos libres</t>
  </si>
  <si>
    <t>https://www.amazon.es/Panasonic-KX-TGB610SPB-Inal%C3%A1mbrico-Resistente-Reducci%C3%B3n/dp/B092S9VXCS/ref=asc_df_B092S9VXCS?mcid=364df253e6123a33b7ae6c9ed7a261e8&amp;tag=googshopes-21&amp;linkCode=df0&amp;hvadid=699690211665&amp;hvpos=&amp;hvnetw=g&amp;hvrand=8298081907619786184&amp;hvpone=&amp;hvptwo=&amp;hvqmt=&amp;hvdev=c&amp;hvdvcmdl=&amp;hvlocint=&amp;hvlocphy=1005444&amp;hvtargid=pla-1269995134059&amp;psc=1&amp;hvocijid=8298081907619786184-B092S9VXCS-&amp;hvexpln=0</t>
  </si>
  <si>
    <t>Zona Común</t>
  </si>
  <si>
    <t>Brother MFC-J5740DW Multifunción</t>
  </si>
  <si>
    <t>https://www.pccomponentes.com/brother-mfc-j5740dw-impresora-multifuncion-color-wifi?s_kwcid=AL!14405!3!756290922160!!!g!333227373339!&amp;gad_source=1&amp;gad_campaignid=22631771274&amp;gclid=CjwKCAjw0sfHBhB6EiwAQtv5qZS-2LIvTJ3IljDO3ChH5OSR8k5Vq0KfZL3LYXIdQErSDT_nMzpuMxoCEQUQAvD_BwE</t>
  </si>
  <si>
    <t>Zona de Desarrollo</t>
  </si>
  <si>
    <t>Dell ECS1250 Slim PC 16 GB</t>
  </si>
  <si>
    <t>Intel Core Ultra 5-225 (10 núcleos, hasta 4.90 GHz), 16 GB DDR5 RAM, 512 GB SSD M.2 NVMe, Intel UHD Graphics</t>
  </si>
  <si>
    <t>https://www.pccomponentes.co/</t>
  </si>
  <si>
    <t>Justificacion de elección</t>
  </si>
  <si>
    <t>Monitor LG UltraGear 27GL83A-B (principal)</t>
  </si>
  <si>
    <t>27", QHD 2560×1440, IPS, 144 Hz, tiempo respuesta 1 ms, altura ajustable</t>
  </si>
  <si>
    <t>https://www.lg.com/</t>
  </si>
  <si>
    <t>Equipo fiable, rápido para diagnósticos y flasheo de firmware.</t>
  </si>
  <si>
    <t>Monitor Dell P2422H (secundario)</t>
  </si>
  <si>
    <t>24", Full HD 1920×1080, IPS, DisplayPort + HDMI, marco fino</t>
  </si>
  <si>
    <t>https://www.dell.com/</t>
  </si>
  <si>
    <t>Buena calidad de color y ángulo, ideal para revisar esquemas o BIOS</t>
  </si>
  <si>
    <t>Teclado y ratón Logitech MK850</t>
  </si>
  <si>
    <t>Inalámbrico, combo ergonómico, conexión USB/Bluetooth, batería larga duración</t>
  </si>
  <si>
    <t>https://www.amazon.es/</t>
  </si>
  <si>
    <t>Alta precisión y seguridad en mediciones.</t>
  </si>
  <si>
    <t xml:space="preserve">Servidor </t>
  </si>
  <si>
    <t>HP ProLiant DL380 Gen10</t>
  </si>
  <si>
    <t>2× Intel Xeon Silver 4210 (20 núcleos totales a 2.2 GHz), 64 GB DDR4 ECC, 2× SSD 1 TB RAID 1 + 2× HDD 4 TB RAID 1,</t>
  </si>
  <si>
    <t>https://www.pccomponentes.com/search</t>
  </si>
  <si>
    <t>Permite alimentar circuitos con precisión y protección contra sobrecarga.</t>
  </si>
  <si>
    <t>Armario Rack StarTech 42U</t>
  </si>
  <si>
    <t>Estructura abierta 19”, acero resistente, montaje en suelo, ventilado</t>
  </si>
  <si>
    <t>https://mercadoactual.es/</t>
  </si>
  <si>
    <t>Kit completo y profesional de reparación.</t>
  </si>
  <si>
    <t>SAI APC Smart-UPS 1500 VA</t>
  </si>
  <si>
    <t>salida senoidal, LCD, protección de picos, USB y RJ45</t>
  </si>
  <si>
    <t>https://www.se.com/es/</t>
  </si>
  <si>
    <t>Switch TP-Link TL-SG1024</t>
  </si>
  <si>
    <t>24 puertos Gigabit, 48 Gbps de capacidad total, montaje en rack</t>
  </si>
  <si>
    <t>https://www.tp-link.com</t>
  </si>
  <si>
    <t>Windows Server 2022 Standard</t>
  </si>
  <si>
    <t>Sistema operativo para servidores (Active Directory, DHCP, DNS)</t>
  </si>
  <si>
    <t>https://www.microsoft.com</t>
  </si>
  <si>
    <t>Nombre del software</t>
  </si>
  <si>
    <t>Version</t>
  </si>
  <si>
    <t>Licencia</t>
  </si>
  <si>
    <t>Justificacion de eleccion</t>
  </si>
  <si>
    <t>URL de licencia</t>
  </si>
  <si>
    <t>Desarrollo</t>
  </si>
  <si>
    <t>Visual Studio Code</t>
  </si>
  <si>
    <t>Gratuita (MIT)</t>
  </si>
  <si>
    <t>Editor ligero, multiplataforma y compatible con múltiples lenguajes.</t>
  </si>
  <si>
    <t>https://code.visualstudio.com/license</t>
  </si>
  <si>
    <t>IntelliJ IDEA Community</t>
  </si>
  <si>
    <t>Gratuita (Apache 2.0)</t>
  </si>
  <si>
    <t>IDE potente para Java y otros lenguajes</t>
  </si>
  <si>
    <t>https://www.jetbrains.com/legal/licenses/</t>
  </si>
  <si>
    <t>Git</t>
  </si>
  <si>
    <t>Gratuita (GPL v2)</t>
  </si>
  <si>
    <t xml:space="preserve">Sistema de control de versiones imprescindible </t>
  </si>
  <si>
    <t>https://git-scm.com/about/free-and-open-source</t>
  </si>
  <si>
    <t>Docker</t>
  </si>
  <si>
    <t xml:space="preserve">Permite virtualización ligera y despliegue de contenedores </t>
  </si>
  <si>
    <t>https://www.docker.com/legal/licensing/</t>
  </si>
  <si>
    <t>Trello</t>
  </si>
  <si>
    <t>SaaS (última)</t>
  </si>
  <si>
    <t>Freemium</t>
  </si>
  <si>
    <t>Herramienta de gestión de proyectos sencilla</t>
  </si>
  <si>
    <t>https://trello.com/legal</t>
  </si>
  <si>
    <t>Servidor</t>
  </si>
  <si>
    <t>Ubuntu Server LTS</t>
  </si>
  <si>
    <t>Gratuita (GPL)</t>
  </si>
  <si>
    <t>Estabilidad y soporte a largo plazo</t>
  </si>
  <si>
    <t>https://canonical.com/legal/intellectual-property-policy</t>
  </si>
  <si>
    <t>MariaDB</t>
  </si>
  <si>
    <t>10.x</t>
  </si>
  <si>
    <t>Base de datos robusta, open source</t>
  </si>
  <si>
    <t>https://mariadb.org/about/license/</t>
  </si>
  <si>
    <t>VMware ESXi Free</t>
  </si>
  <si>
    <t>Gratuita (ESXi Free)</t>
  </si>
  <si>
    <t>Virtualización de servidores</t>
  </si>
  <si>
    <t>https://www.proxmox.com/legal</t>
  </si>
  <si>
    <t>ClamAV</t>
  </si>
  <si>
    <t>Antivirus open source para servidores Linux</t>
  </si>
  <si>
    <t>https://www.clamav.net/documents/license</t>
  </si>
  <si>
    <t>HWMonitor</t>
  </si>
  <si>
    <t>1.52</t>
  </si>
  <si>
    <t>Gratuita</t>
  </si>
  <si>
    <t>Monitorización de temperatura y voltaje.</t>
  </si>
  <si>
    <t>https://www.cpuid.com</t>
  </si>
  <si>
    <t>CrystalDiskInfo</t>
  </si>
  <si>
    <t>Diagnóstico de discos duros y SSD.</t>
  </si>
  <si>
    <t>https://crystalmark.info</t>
  </si>
  <si>
    <t>Recuva</t>
  </si>
  <si>
    <t>1.53.2096</t>
  </si>
  <si>
    <t>Recuperación de datos borrados.</t>
  </si>
  <si>
    <t>https://www.ccleaner.com/recuva</t>
  </si>
  <si>
    <t>Rufus</t>
  </si>
  <si>
    <t>Gratuita (GLP v3)</t>
  </si>
  <si>
    <t>Creación de USB booteables para instalación de sistemas.</t>
  </si>
  <si>
    <t>https://rufus.ie</t>
  </si>
  <si>
    <t>Windows 11 Pro</t>
  </si>
  <si>
    <t>23H2</t>
  </si>
  <si>
    <t>Licencia (OEM)</t>
  </si>
  <si>
    <t>Sistema operativo estable y compatible con la mayoría de herramientas.</t>
  </si>
  <si>
    <t>https://www.microsoft.com/</t>
  </si>
  <si>
    <t>Ubuntu 24.04</t>
  </si>
  <si>
    <t>Libre</t>
  </si>
  <si>
    <t>Alternativa Linux para pruebas de hardware/software.</t>
  </si>
  <si>
    <t>https://ubuntu.com/</t>
  </si>
  <si>
    <t>Microsoft 365 Empresa Estándar</t>
  </si>
  <si>
    <t>Comercial (Suscripción)</t>
  </si>
  <si>
    <t>Incluye versiones completas de escritorio de Office, correo empresarial, Teams, OneDrive 1TB, ideal para dirección con necesidades avanzadas​</t>
  </si>
  <si>
    <t>https://www.microsoft.com/es-es/microsoft-365/business</t>
  </si>
  <si>
    <t>Antivirus Windows Defender</t>
  </si>
  <si>
    <t>Integrado Windows 11</t>
  </si>
  <si>
    <t>Protección básica integrada en el sistema operativo sin coste adicional​</t>
  </si>
  <si>
    <t>https://microsoft.com</t>
  </si>
  <si>
    <t>Zoom</t>
  </si>
  <si>
    <t>Pro</t>
  </si>
  <si>
    <t>Complemento a Teams para reuniones externas con clientes que prefieren esta plataforma​</t>
  </si>
  <si>
    <t>Microsoft 365 Empresa Básico</t>
  </si>
  <si>
    <t>Versión económica con aplicaciones web y móviles, correo empresarial, suficiente para tareas de recepción​</t>
  </si>
  <si>
    <t>Envoy Visitor Management</t>
  </si>
  <si>
    <t>Cloud</t>
  </si>
  <si>
    <t>Profesionaliza el registro de visitantes y mejora la experiencia de acogida​</t>
  </si>
  <si>
    <t>https://envoy.com/</t>
  </si>
  <si>
    <t>Nombre</t>
  </si>
  <si>
    <t>Caracteristicas</t>
  </si>
  <si>
    <t>Justificacion</t>
  </si>
  <si>
    <t>Mesa de trabajo metálica</t>
  </si>
  <si>
    <t>150x80cm, estructura reforzada, superficie antiestática</t>
  </si>
  <si>
    <t>Ideal para trabajos con componentes electrónicos.</t>
  </si>
  <si>
    <t>https://www.amazon.es</t>
  </si>
  <si>
    <t>Silla ergonómica</t>
  </si>
  <si>
    <t>Regulable en altura, respaldo transpirable</t>
  </si>
  <si>
    <t>Comodidad en largas jornadas de reparación.</t>
  </si>
  <si>
    <t>https://www.ikea.com</t>
  </si>
  <si>
    <t>Estantería metálica</t>
  </si>
  <si>
    <t>5 niveles, carga 150kg por balda</t>
  </si>
  <si>
    <t>Para almacenar equipos y piezas.</t>
  </si>
  <si>
    <t>https://www.leroymerlin.es</t>
  </si>
  <si>
    <t>Iluminación LED</t>
  </si>
  <si>
    <t>Lámpara con brazo flexible y luz fría</t>
  </si>
  <si>
    <t>Mejora la precisión visual al reparar.</t>
  </si>
  <si>
    <t>Mesa despacho GAMA-3</t>
  </si>
  <si>
    <t>200x90cm, pie grueso con ala, melamina y MDF lacado, gestión de cables integrada</t>
  </si>
  <si>
    <t>Mesa direccional de alta calidad que proyecta profesionalidad y ofrece amplio espacio de trabajo​</t>
  </si>
  <si>
    <t>https://oficit.com/</t>
  </si>
  <si>
    <t>Silla dirección Herman Miller Aeron</t>
  </si>
  <si>
    <t>Respaldo alto, ergonómica premium, ajustes múltiples, soporte lumbar</t>
  </si>
  <si>
    <t>Silla de máxima ergonomía para largas jornadas de trabajo directivo, previene problemas posturales​</t>
  </si>
  <si>
    <t>https://ofival.es</t>
  </si>
  <si>
    <t>Archivador con cerradura</t>
  </si>
  <si>
    <t>Metálico 4 cajones, cerradura de seguridad</t>
  </si>
  <si>
    <t>Almacenamiento seguro para documentos confidenciales de dirección​</t>
  </si>
  <si>
    <t>https://ofiprix.com</t>
  </si>
  <si>
    <t>Estantería modular</t>
  </si>
  <si>
    <t>180x80cm, 5 baldas regulables, acabado en roble</t>
  </si>
  <si>
    <t>Almacenamiento de libros, archivos y elementos decorativos​</t>
  </si>
  <si>
    <t>https://jgorbe.com</t>
  </si>
  <si>
    <t>Mesa auxiliar reuniones</t>
  </si>
  <si>
    <t>120x60cm, 4 sillas confidente</t>
  </si>
  <si>
    <t>Zona de reuniones pequeñas dentro del despacho de dirección​</t>
  </si>
  <si>
    <t>Papelera diseño</t>
  </si>
  <si>
    <t>Metálica 20L, acabado cromado</t>
  </si>
  <si>
    <t>Elemento funcional con diseño acorde al nivel de dirección​</t>
  </si>
  <si>
    <t>Lámpara escritorio LED regulable</t>
  </si>
  <si>
    <t>LED 15W, brazo articulado, regulación intensidad y temperatura color</t>
  </si>
  <si>
    <t>Iluminación de calidad para trabajo de precisión, reduce fatiga visual (500-750 lux recomendados)​</t>
  </si>
  <si>
    <t>https://casadelalampara.com</t>
  </si>
  <si>
    <t>Mostrador recepción modular Delta</t>
  </si>
  <si>
    <t>200x120x75cm, acabado blanco/madera, espacio para silla, zona de atención PMR</t>
  </si>
  <si>
    <t>Mostrador funcional y moderno, accesible para personas con movilidad reducida</t>
  </si>
  <si>
    <t>https://www.ofiprix.com</t>
  </si>
  <si>
    <t>Silla operativa para recepcionista</t>
  </si>
  <si>
    <t>Respaldo medio, altura ajustable, ruedas, apoyo lumbar</t>
  </si>
  <si>
    <t>Silla cómoda para jornada completa de trabajo en recepción</t>
  </si>
  <si>
    <t>Sofá sala espera 3 plazas</t>
  </si>
  <si>
    <t>Tapizado en tejido ignífugo, estructura metálica, 180cm</t>
  </si>
  <si>
    <t>Asientos cómodos para visitantes en espera, transmite profesionalidad</t>
  </si>
  <si>
    <t>https://tecno-oficinas.com</t>
  </si>
  <si>
    <t>Mesa auxiliar centro</t>
  </si>
  <si>
    <t>80x80cm, cristal templado, estructura cromada</t>
  </si>
  <si>
    <t>Mesa para revistas y elementos decorativos en zona de espera</t>
  </si>
  <si>
    <t>https://decoraoficina.es</t>
  </si>
  <si>
    <t>Perchero de pie</t>
  </si>
  <si>
    <t>180cm altura, 8 colgadores, base metálica estable</t>
  </si>
  <si>
    <t>Para abrigos y pertenencias de visitantes</t>
  </si>
  <si>
    <t>Panel decorativo con logo empresa</t>
  </si>
  <si>
    <t>Retroiluminado LED, metacrilato, personalizado</t>
  </si>
  <si>
    <t>Refuerza la identidad corporativa en el primer punto de contacto</t>
  </si>
  <si>
    <t>Lámpara colgante LED recepción</t>
  </si>
  <si>
    <t>LED 40W, diseño moderno, luz cálida 3000K</t>
  </si>
  <si>
    <t>Iluminación ambiental profesional y acogedora</t>
  </si>
  <si>
    <t>Mesa comedor/descanso</t>
  </si>
  <si>
    <t>200x100cm, acabado laminado, 8 plazas</t>
  </si>
  <si>
    <t>Espacio para comidas y descansos del personal, fomenta la interacción</t>
  </si>
  <si>
    <t>ofival.es</t>
  </si>
  <si>
    <t>Sillas comedor apilables (8 uds)</t>
  </si>
  <si>
    <t>Polipropileno, apilables, fácil limpieza</t>
  </si>
  <si>
    <t>Sillas prácticas y fáciles de limpiar para zona de uso común</t>
  </si>
  <si>
    <t>ofiprix.com</t>
  </si>
  <si>
    <t>Mueble auxiliar con microondas</t>
  </si>
  <si>
    <t>120x60x90cm, puertas y cajones, superficie resistente</t>
  </si>
  <si>
    <t>Almacenamiento de menaje y espacio para electrodomésticos</t>
  </si>
  <si>
    <t>Nevera pequeña oficina</t>
  </si>
  <si>
    <t>120L, bajo consumo A++, silenciosa</t>
  </si>
  <si>
    <t>Para alimentos y bebidas del personal</t>
  </si>
  <si>
    <t>pccomponentes.com</t>
  </si>
  <si>
    <t>Cafetera oficina profesional</t>
  </si>
  <si>
    <t>Depósito 1,8L, 15 bares, automática</t>
  </si>
  <si>
    <t>Equipo para preparar café de calidad, mejora el ambiente laboral</t>
  </si>
  <si>
    <t>Estantería abierta almacenaje</t>
  </si>
  <si>
    <t>180x90cm, metal, 4 baldas</t>
  </si>
  <si>
    <t>Para material de oficina compartido y archivo general</t>
  </si>
  <si>
    <t>Mueble impresora</t>
  </si>
  <si>
    <t>70x50x70cm, ruedas, balda superior</t>
  </si>
  <si>
    <t>Soporte para impresora compartida, facilita el acceso</t>
  </si>
  <si>
    <t>Panel luminoso LED techo</t>
  </si>
  <si>
    <t>60x60cm, 40W, luz neutra 4000K</t>
  </si>
  <si>
    <t>Iluminación general de la zona común según normativa</t>
  </si>
  <si>
    <t>lacasadelalampara.com</t>
  </si>
  <si>
    <t>ODK Escritorio Esquinero con Cajones</t>
  </si>
  <si>
    <t>Mesa en L con puerto USB, iluminación LED y estantería integrada</t>
  </si>
  <si>
    <t>Maximiza el espacio y organiza equipos y cables eficientemente</t>
  </si>
  <si>
    <t>Lámpara de escritorio skyleo LED A018</t>
  </si>
  <si>
    <t>5 modos de color, 12W, altura de 31,5 cm</t>
  </si>
  <si>
    <t>Ilumina sin deslumbrar, ideal para largas horas de trabajo</t>
  </si>
  <si>
    <t>Flexo LED Inspire Alex</t>
  </si>
  <si>
    <t>Táctil, 820 lm, tono e intensidad ajustables</t>
  </si>
  <si>
    <t>Ahorro energético y luz personalizada para cada tarea</t>
  </si>
  <si>
    <t>https://www.leroymerlin.es/</t>
  </si>
  <si>
    <t>Paneles de pared insonorizantes autoadhesivos</t>
  </si>
  <si>
    <t>Ideales para oficinas, mejora acústica</t>
  </si>
  <si>
    <t>Reducen ruidos molestos, creando un ambiente más productivo</t>
  </si>
  <si>
    <t>Estantería Modular 6 Cubos Dinamic Pino Macizo Astigarraga</t>
  </si>
  <si>
    <t>Diseño modular, madera de pino macizo</t>
  </si>
  <si>
    <t>Organiza documentos y equipos de forma ordenada</t>
  </si>
  <si>
    <t>Rack de Servidores 42U 19" 600x1200 DataCenter</t>
  </si>
  <si>
    <t>Capacidad para 42U, estructura metálica robusta, puertas con ventilación</t>
  </si>
  <si>
    <t>Aloja y organiza servidores, switches y equipos de red de forma segura</t>
  </si>
  <si>
    <t>Gabinete para Servidor de Red Montaje en Pared 12U</t>
  </si>
  <si>
    <t>Diseño compacto, paneles laterales con puerta</t>
  </si>
  <si>
    <t>Ideal para espacios reducidos, protege equipos de accesos no autorizados</t>
  </si>
  <si>
    <t>Estantería Metálica Industrial 200x120x50 cm 5 Baldas</t>
  </si>
  <si>
    <t>Capacidad 200 kg por balda, acero reforzado</t>
  </si>
  <si>
    <t>Almacena componentes, cables y accesorios de servidor de forma organizada</t>
  </si>
  <si>
    <t>Carro móvil para servidores 19" 6U</t>
  </si>
  <si>
    <t>Ruedas con freno, montaje ajustable</t>
  </si>
  <si>
    <t>Permite mover equipos de forma segura dentro de la sala de servidores</t>
  </si>
  <si>
    <t>Elementos</t>
  </si>
  <si>
    <t>Precio (€)</t>
  </si>
  <si>
    <t>Monitor ASUS ProArt</t>
  </si>
  <si>
    <t>Fuente Korad KA3005D</t>
  </si>
  <si>
    <t>Kit iFixit</t>
  </si>
  <si>
    <t>Windows 11 Pro OEM</t>
  </si>
  <si>
    <t>Software varios gratuitos</t>
  </si>
  <si>
    <t>Mesa metálica</t>
  </si>
  <si>
    <t>Estantería</t>
  </si>
  <si>
    <t>Lámpara LED</t>
  </si>
  <si>
    <t>Dirección</t>
  </si>
  <si>
    <t>Monitor Dell UltraSharp 27"</t>
  </si>
  <si>
    <t>Teclado y ratón inalámbrico Logitech MK850</t>
  </si>
  <si>
    <t>Microsoft 365 Empresa Estándar (anual)</t>
  </si>
  <si>
    <t>Licencia Zoom Pro (anual)</t>
  </si>
  <si>
    <t>Silla Herman Miller Aeron</t>
  </si>
  <si>
    <t>Archivador con cerradura 4 cajones</t>
  </si>
  <si>
    <t>Mesa auxiliar reuniones + 4 sillas</t>
  </si>
  <si>
    <t>Lámpara escritorio LED</t>
  </si>
  <si>
    <t>Logitech MK270 Combo Teclado y Ratón</t>
  </si>
  <si>
    <t>Teléfono Panasonic KX-TGB610SPB</t>
  </si>
  <si>
    <t>Microsoft 365 Empresa Básico (anual)</t>
  </si>
  <si>
    <t>Software gestión visitantes (anual)</t>
  </si>
  <si>
    <t>Mostrador recepción Delta</t>
  </si>
  <si>
    <t>Silla operativa recepcionista</t>
  </si>
  <si>
    <t>Panel logo empresa retroiluminado</t>
  </si>
  <si>
    <t>Lámpara colgante LED</t>
  </si>
  <si>
    <t>Mesa comedor 8 plazas</t>
  </si>
  <si>
    <t>Sillas apilables (8 uds)</t>
  </si>
  <si>
    <t>Mueble auxiliar cocina</t>
  </si>
  <si>
    <t>Nevera pequeña 120L</t>
  </si>
  <si>
    <t>Cafetera profesional</t>
  </si>
  <si>
    <t>Estantería almacenaje</t>
  </si>
  <si>
    <t>Mueble impresora con ruedas</t>
  </si>
  <si>
    <t>Panel LED techo (x2 unidades)</t>
  </si>
  <si>
    <t>Precio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</si>
</sst>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.mm"/>
    <numFmt numFmtId="165" formatCode="d.m.yyyy"/>
    <numFmt numFmtId="166" formatCode="d.m"/>
    <numFmt numFmtId="167" formatCode="#,##0.00\ [$€-1]"/>
    <numFmt numFmtId="168" formatCode="#,##0.00&quot;€&quot;"/>
  </numFmts>
  <fonts count="4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/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9.0"/>
      <color theme="1"/>
      <name val="Arial"/>
      <scheme val="minor"/>
    </font>
    <font>
      <sz val="10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2" fillId="3" fontId="1" numFmtId="0" xfId="0" applyAlignment="1" applyBorder="1" applyFill="1" applyFont="1">
      <alignment horizontal="center" readingOrder="0" vertical="center"/>
    </xf>
    <xf borderId="0" fillId="3" fontId="2" numFmtId="0" xfId="0" applyAlignment="1" applyFont="1">
      <alignment readingOrder="0"/>
    </xf>
    <xf borderId="0" fillId="3" fontId="3" numFmtId="0" xfId="0" applyAlignment="1" applyFont="1">
      <alignment readingOrder="0"/>
    </xf>
    <xf borderId="3" fillId="0" fontId="4" numFmtId="0" xfId="0" applyBorder="1" applyFont="1"/>
    <xf borderId="0" fillId="3" fontId="5" numFmtId="0" xfId="0" applyAlignment="1" applyFont="1">
      <alignment readingOrder="0"/>
    </xf>
    <xf borderId="4" fillId="0" fontId="4" numFmtId="0" xfId="0" applyBorder="1" applyFont="1"/>
    <xf borderId="5" fillId="3" fontId="2" numFmtId="0" xfId="0" applyAlignment="1" applyBorder="1" applyFont="1">
      <alignment readingOrder="0"/>
    </xf>
    <xf borderId="5" fillId="3" fontId="6" numFmtId="0" xfId="0" applyAlignment="1" applyBorder="1" applyFont="1">
      <alignment readingOrder="0"/>
    </xf>
    <xf borderId="2" fillId="4" fontId="1" numFmtId="0" xfId="0" applyAlignment="1" applyBorder="1" applyFill="1" applyFont="1">
      <alignment horizontal="center" readingOrder="0" vertical="center"/>
    </xf>
    <xf borderId="0" fillId="4" fontId="2" numFmtId="0" xfId="0" applyAlignment="1" applyFont="1">
      <alignment readingOrder="0"/>
    </xf>
    <xf borderId="0" fillId="4" fontId="7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8" numFmtId="0" xfId="0" applyAlignment="1" applyFont="1">
      <alignment readingOrder="0"/>
    </xf>
    <xf borderId="5" fillId="4" fontId="2" numFmtId="0" xfId="0" applyAlignment="1" applyBorder="1" applyFont="1">
      <alignment readingOrder="0"/>
    </xf>
    <xf borderId="5" fillId="4" fontId="9" numFmtId="0" xfId="0" applyAlignment="1" applyBorder="1" applyFont="1">
      <alignment readingOrder="0"/>
    </xf>
    <xf borderId="2" fillId="5" fontId="1" numFmtId="0" xfId="0" applyAlignment="1" applyBorder="1" applyFill="1" applyFont="1">
      <alignment horizontal="center" readingOrder="0" vertical="center"/>
    </xf>
    <xf borderId="0" fillId="5" fontId="2" numFmtId="0" xfId="0" applyAlignment="1" applyFont="1">
      <alignment readingOrder="0"/>
    </xf>
    <xf borderId="0" fillId="5" fontId="10" numFmtId="0" xfId="0" applyAlignment="1" applyFont="1">
      <alignment readingOrder="0"/>
    </xf>
    <xf borderId="0" fillId="5" fontId="11" numFmtId="0" xfId="0" applyAlignment="1" applyFont="1">
      <alignment readingOrder="0"/>
    </xf>
    <xf borderId="5" fillId="5" fontId="2" numFmtId="0" xfId="0" applyAlignment="1" applyBorder="1" applyFont="1">
      <alignment readingOrder="0"/>
    </xf>
    <xf borderId="5" fillId="5" fontId="12" numFmtId="0" xfId="0" applyAlignment="1" applyBorder="1" applyFont="1">
      <alignment readingOrder="0"/>
    </xf>
    <xf borderId="6" fillId="6" fontId="1" numFmtId="0" xfId="0" applyAlignment="1" applyBorder="1" applyFill="1" applyFont="1">
      <alignment horizontal="center" readingOrder="0"/>
    </xf>
    <xf borderId="7" fillId="6" fontId="2" numFmtId="0" xfId="0" applyAlignment="1" applyBorder="1" applyFont="1">
      <alignment readingOrder="0"/>
    </xf>
    <xf borderId="8" fillId="6" fontId="13" numFmtId="0" xfId="0" applyAlignment="1" applyBorder="1" applyFont="1">
      <alignment readingOrder="0"/>
    </xf>
    <xf borderId="0" fillId="7" fontId="2" numFmtId="0" xfId="0" applyAlignment="1" applyFill="1" applyFont="1">
      <alignment horizontal="center" readingOrder="0" vertical="center"/>
    </xf>
    <xf borderId="0" fillId="7" fontId="2" numFmtId="0" xfId="0" applyAlignment="1" applyFont="1">
      <alignment readingOrder="0"/>
    </xf>
    <xf borderId="0" fillId="7" fontId="14" numFmtId="0" xfId="0" applyAlignment="1" applyFont="1">
      <alignment readingOrder="0"/>
    </xf>
    <xf borderId="0" fillId="8" fontId="2" numFmtId="0" xfId="0" applyFill="1" applyFont="1"/>
    <xf borderId="0" fillId="9" fontId="2" numFmtId="0" xfId="0" applyAlignment="1" applyFill="1" applyFont="1">
      <alignment horizontal="center" readingOrder="0" vertical="center"/>
    </xf>
    <xf borderId="0" fillId="9" fontId="2" numFmtId="0" xfId="0" applyAlignment="1" applyFont="1">
      <alignment readingOrder="0"/>
    </xf>
    <xf borderId="0" fillId="9" fontId="15" numFmtId="0" xfId="0" applyAlignment="1" applyFont="1">
      <alignment readingOrder="0"/>
    </xf>
    <xf borderId="2" fillId="7" fontId="1" numFmtId="0" xfId="0" applyAlignment="1" applyBorder="1" applyFont="1">
      <alignment horizontal="center" readingOrder="0" vertical="center"/>
    </xf>
    <xf borderId="9" fillId="7" fontId="2" numFmtId="0" xfId="0" applyAlignment="1" applyBorder="1" applyFont="1">
      <alignment readingOrder="0"/>
    </xf>
    <xf borderId="9" fillId="7" fontId="2" numFmtId="0" xfId="0" applyBorder="1" applyFont="1"/>
    <xf borderId="10" fillId="7" fontId="16" numFmtId="0" xfId="0" applyAlignment="1" applyBorder="1" applyFont="1">
      <alignment readingOrder="0"/>
    </xf>
    <xf borderId="0" fillId="7" fontId="17" numFmtId="0" xfId="0" applyAlignment="1" applyFont="1">
      <alignment readingOrder="0"/>
    </xf>
    <xf borderId="0" fillId="7" fontId="2" numFmtId="0" xfId="0" applyFont="1"/>
    <xf borderId="0" fillId="7" fontId="18" numFmtId="0" xfId="0" applyAlignment="1" applyFont="1">
      <alignment readingOrder="0"/>
    </xf>
    <xf borderId="11" fillId="7" fontId="19" numFmtId="0" xfId="0" applyAlignment="1" applyBorder="1" applyFont="1">
      <alignment readingOrder="0"/>
    </xf>
    <xf borderId="5" fillId="7" fontId="2" numFmtId="0" xfId="0" applyAlignment="1" applyBorder="1" applyFont="1">
      <alignment readingOrder="0"/>
    </xf>
    <xf borderId="12" fillId="7" fontId="20" numFmtId="0" xfId="0" applyAlignment="1" applyBorder="1" applyFont="1">
      <alignment readingOrder="0"/>
    </xf>
    <xf borderId="2" fillId="9" fontId="1" numFmtId="0" xfId="0" applyAlignment="1" applyBorder="1" applyFont="1">
      <alignment horizontal="center" readingOrder="0" vertical="center"/>
    </xf>
    <xf borderId="9" fillId="9" fontId="2" numFmtId="0" xfId="0" applyAlignment="1" applyBorder="1" applyFont="1">
      <alignment readingOrder="0"/>
    </xf>
    <xf borderId="9" fillId="9" fontId="2" numFmtId="164" xfId="0" applyAlignment="1" applyBorder="1" applyFont="1" applyNumberFormat="1">
      <alignment horizontal="left" readingOrder="0"/>
    </xf>
    <xf borderId="10" fillId="9" fontId="21" numFmtId="0" xfId="0" applyAlignment="1" applyBorder="1" applyFont="1">
      <alignment readingOrder="0"/>
    </xf>
    <xf borderId="11" fillId="9" fontId="22" numFmtId="0" xfId="0" applyAlignment="1" applyBorder="1" applyFont="1">
      <alignment readingOrder="0"/>
    </xf>
    <xf borderId="0" fillId="9" fontId="2" numFmtId="0" xfId="0" applyFont="1"/>
    <xf borderId="11" fillId="9" fontId="23" numFmtId="0" xfId="0" applyAlignment="1" applyBorder="1" applyFont="1">
      <alignment readingOrder="0"/>
    </xf>
    <xf borderId="5" fillId="9" fontId="2" numFmtId="0" xfId="0" applyBorder="1" applyFont="1"/>
    <xf borderId="12" fillId="9" fontId="2" numFmtId="0" xfId="0" applyBorder="1" applyFont="1"/>
    <xf borderId="9" fillId="3" fontId="2" numFmtId="0" xfId="0" applyAlignment="1" applyBorder="1" applyFont="1">
      <alignment readingOrder="0"/>
    </xf>
    <xf borderId="9" fillId="3" fontId="2" numFmtId="0" xfId="0" applyAlignment="1" applyBorder="1" applyFont="1">
      <alignment horizontal="left" readingOrder="0"/>
    </xf>
    <xf borderId="10" fillId="3" fontId="24" numFmtId="0" xfId="0" applyAlignment="1" applyBorder="1" applyFont="1">
      <alignment readingOrder="0"/>
    </xf>
    <xf borderId="0" fillId="3" fontId="2" numFmtId="165" xfId="0" applyAlignment="1" applyFont="1" applyNumberFormat="1">
      <alignment horizontal="left" readingOrder="0"/>
    </xf>
    <xf borderId="11" fillId="3" fontId="25" numFmtId="0" xfId="0" applyAlignment="1" applyBorder="1" applyFont="1">
      <alignment readingOrder="0"/>
    </xf>
    <xf borderId="0" fillId="3" fontId="2" numFmtId="0" xfId="0" applyAlignment="1" applyFont="1">
      <alignment horizontal="left" readingOrder="0"/>
    </xf>
    <xf borderId="0" fillId="3" fontId="2" numFmtId="166" xfId="0" applyAlignment="1" applyFont="1" applyNumberFormat="1">
      <alignment horizontal="left" readingOrder="0"/>
    </xf>
    <xf borderId="5" fillId="3" fontId="2" numFmtId="164" xfId="0" applyAlignment="1" applyBorder="1" applyFont="1" applyNumberFormat="1">
      <alignment horizontal="left" readingOrder="0"/>
    </xf>
    <xf borderId="12" fillId="3" fontId="26" numFmtId="0" xfId="0" applyAlignment="1" applyBorder="1" applyFont="1">
      <alignment readingOrder="0"/>
    </xf>
    <xf borderId="9" fillId="4" fontId="2" numFmtId="0" xfId="0" applyAlignment="1" applyBorder="1" applyFont="1">
      <alignment readingOrder="0"/>
    </xf>
    <xf borderId="9" fillId="4" fontId="2" numFmtId="0" xfId="0" applyAlignment="1" applyBorder="1" applyFont="1">
      <alignment horizontal="left" readingOrder="0"/>
    </xf>
    <xf borderId="10" fillId="4" fontId="27" numFmtId="0" xfId="0" applyAlignment="1" applyBorder="1" applyFont="1">
      <alignment readingOrder="0"/>
    </xf>
    <xf borderId="0" fillId="4" fontId="2" numFmtId="0" xfId="0" applyAlignment="1" applyFont="1">
      <alignment horizontal="left" readingOrder="0"/>
    </xf>
    <xf borderId="11" fillId="4" fontId="28" numFmtId="0" xfId="0" applyAlignment="1" applyBorder="1" applyFont="1">
      <alignment readingOrder="0"/>
    </xf>
    <xf borderId="11" fillId="4" fontId="29" numFmtId="0" xfId="0" applyAlignment="1" applyBorder="1" applyFont="1">
      <alignment readingOrder="0"/>
    </xf>
    <xf borderId="9" fillId="5" fontId="2" numFmtId="0" xfId="0" applyAlignment="1" applyBorder="1" applyFont="1">
      <alignment readingOrder="0"/>
    </xf>
    <xf borderId="9" fillId="5" fontId="2" numFmtId="0" xfId="0" applyAlignment="1" applyBorder="1" applyFont="1">
      <alignment horizontal="left" readingOrder="0"/>
    </xf>
    <xf borderId="10" fillId="5" fontId="30" numFmtId="0" xfId="0" applyAlignment="1" applyBorder="1" applyFont="1">
      <alignment readingOrder="0"/>
    </xf>
    <xf borderId="5" fillId="5" fontId="2" numFmtId="0" xfId="0" applyAlignment="1" applyBorder="1" applyFont="1">
      <alignment horizontal="left" readingOrder="0"/>
    </xf>
    <xf borderId="12" fillId="5" fontId="31" numFmtId="0" xfId="0" applyAlignment="1" applyBorder="1" applyFont="1">
      <alignment readingOrder="0"/>
    </xf>
    <xf borderId="12" fillId="4" fontId="32" numFmtId="0" xfId="0" applyAlignment="1" applyBorder="1" applyFont="1">
      <alignment readingOrder="0"/>
    </xf>
    <xf borderId="10" fillId="5" fontId="33" numFmtId="0" xfId="0" applyAlignment="1" applyBorder="1" applyFont="1">
      <alignment readingOrder="0"/>
    </xf>
    <xf borderId="11" fillId="5" fontId="34" numFmtId="0" xfId="0" applyAlignment="1" applyBorder="1" applyFont="1">
      <alignment readingOrder="0"/>
    </xf>
    <xf borderId="12" fillId="5" fontId="35" numFmtId="0" xfId="0" applyAlignment="1" applyBorder="1" applyFont="1">
      <alignment readingOrder="0"/>
    </xf>
    <xf borderId="2" fillId="6" fontId="1" numFmtId="0" xfId="0" applyAlignment="1" applyBorder="1" applyFont="1">
      <alignment horizontal="center" readingOrder="0" vertical="center"/>
    </xf>
    <xf borderId="9" fillId="6" fontId="2" numFmtId="0" xfId="0" applyAlignment="1" applyBorder="1" applyFont="1">
      <alignment readingOrder="0"/>
    </xf>
    <xf borderId="10" fillId="6" fontId="36" numFmtId="0" xfId="0" applyAlignment="1" applyBorder="1" applyFont="1">
      <alignment readingOrder="0"/>
    </xf>
    <xf borderId="0" fillId="6" fontId="2" numFmtId="0" xfId="0" applyAlignment="1" applyFont="1">
      <alignment readingOrder="0"/>
    </xf>
    <xf borderId="11" fillId="6" fontId="37" numFmtId="0" xfId="0" applyAlignment="1" applyBorder="1" applyFont="1">
      <alignment readingOrder="0"/>
    </xf>
    <xf borderId="5" fillId="6" fontId="2" numFmtId="0" xfId="0" applyAlignment="1" applyBorder="1" applyFont="1">
      <alignment readingOrder="0"/>
    </xf>
    <xf borderId="12" fillId="6" fontId="38" numFmtId="0" xfId="0" applyAlignment="1" applyBorder="1" applyFont="1">
      <alignment readingOrder="0"/>
    </xf>
    <xf borderId="0" fillId="9" fontId="39" numFmtId="0" xfId="0" applyAlignment="1" applyFont="1">
      <alignment readingOrder="0"/>
    </xf>
    <xf borderId="2" fillId="2" fontId="2" numFmtId="0" xfId="0" applyAlignment="1" applyBorder="1" applyFont="1">
      <alignment readingOrder="0"/>
    </xf>
    <xf borderId="13" fillId="3" fontId="1" numFmtId="0" xfId="0" applyAlignment="1" applyBorder="1" applyFont="1">
      <alignment horizontal="center" readingOrder="0" vertical="center"/>
    </xf>
    <xf borderId="13" fillId="3" fontId="2" numFmtId="0" xfId="0" applyAlignment="1" applyBorder="1" applyFont="1">
      <alignment readingOrder="0"/>
    </xf>
    <xf borderId="10" fillId="3" fontId="2" numFmtId="167" xfId="0" applyAlignment="1" applyBorder="1" applyFont="1" applyNumberFormat="1">
      <alignment readingOrder="0"/>
    </xf>
    <xf borderId="14" fillId="0" fontId="4" numFmtId="0" xfId="0" applyBorder="1" applyFont="1"/>
    <xf borderId="14" fillId="3" fontId="2" numFmtId="0" xfId="0" applyAlignment="1" applyBorder="1" applyFont="1">
      <alignment readingOrder="0"/>
    </xf>
    <xf borderId="11" fillId="3" fontId="2" numFmtId="167" xfId="0" applyAlignment="1" applyBorder="1" applyFont="1" applyNumberFormat="1">
      <alignment readingOrder="0"/>
    </xf>
    <xf borderId="15" fillId="0" fontId="4" numFmtId="0" xfId="0" applyBorder="1" applyFont="1"/>
    <xf borderId="15" fillId="3" fontId="2" numFmtId="0" xfId="0" applyAlignment="1" applyBorder="1" applyFont="1">
      <alignment readingOrder="0"/>
    </xf>
    <xf borderId="12" fillId="3" fontId="2" numFmtId="167" xfId="0" applyAlignment="1" applyBorder="1" applyFont="1" applyNumberFormat="1">
      <alignment readingOrder="0"/>
    </xf>
    <xf borderId="13" fillId="4" fontId="1" numFmtId="0" xfId="0" applyAlignment="1" applyBorder="1" applyFont="1">
      <alignment horizontal="center" readingOrder="0" vertical="center"/>
    </xf>
    <xf borderId="13" fillId="4" fontId="2" numFmtId="0" xfId="0" applyAlignment="1" applyBorder="1" applyFont="1">
      <alignment readingOrder="0"/>
    </xf>
    <xf borderId="10" fillId="4" fontId="2" numFmtId="168" xfId="0" applyAlignment="1" applyBorder="1" applyFont="1" applyNumberFormat="1">
      <alignment readingOrder="0"/>
    </xf>
    <xf borderId="14" fillId="4" fontId="2" numFmtId="0" xfId="0" applyAlignment="1" applyBorder="1" applyFont="1">
      <alignment readingOrder="0"/>
    </xf>
    <xf borderId="11" fillId="4" fontId="2" numFmtId="168" xfId="0" applyAlignment="1" applyBorder="1" applyFont="1" applyNumberFormat="1">
      <alignment readingOrder="0"/>
    </xf>
    <xf borderId="15" fillId="4" fontId="2" numFmtId="0" xfId="0" applyAlignment="1" applyBorder="1" applyFont="1">
      <alignment readingOrder="0"/>
    </xf>
    <xf borderId="12" fillId="4" fontId="2" numFmtId="168" xfId="0" applyAlignment="1" applyBorder="1" applyFont="1" applyNumberFormat="1">
      <alignment readingOrder="0"/>
    </xf>
    <xf borderId="13" fillId="5" fontId="1" numFmtId="0" xfId="0" applyAlignment="1" applyBorder="1" applyFont="1">
      <alignment horizontal="center" readingOrder="0" vertical="center"/>
    </xf>
    <xf borderId="13" fillId="5" fontId="2" numFmtId="0" xfId="0" applyAlignment="1" applyBorder="1" applyFont="1">
      <alignment readingOrder="0"/>
    </xf>
    <xf borderId="10" fillId="5" fontId="2" numFmtId="168" xfId="0" applyAlignment="1" applyBorder="1" applyFont="1" applyNumberFormat="1">
      <alignment readingOrder="0"/>
    </xf>
    <xf borderId="14" fillId="5" fontId="2" numFmtId="0" xfId="0" applyAlignment="1" applyBorder="1" applyFont="1">
      <alignment readingOrder="0"/>
    </xf>
    <xf borderId="11" fillId="5" fontId="2" numFmtId="168" xfId="0" applyAlignment="1" applyBorder="1" applyFont="1" applyNumberFormat="1">
      <alignment readingOrder="0"/>
    </xf>
    <xf borderId="15" fillId="5" fontId="2" numFmtId="0" xfId="0" applyAlignment="1" applyBorder="1" applyFont="1">
      <alignment readingOrder="0"/>
    </xf>
    <xf borderId="12" fillId="5" fontId="2" numFmtId="168" xfId="0" applyAlignment="1" applyBorder="1" applyFont="1" applyNumberFormat="1">
      <alignment readingOrder="0"/>
    </xf>
    <xf borderId="13" fillId="6" fontId="1" numFmtId="0" xfId="0" applyAlignment="1" applyBorder="1" applyFont="1">
      <alignment horizontal="center" readingOrder="0" vertical="center"/>
    </xf>
    <xf borderId="13" fillId="6" fontId="2" numFmtId="0" xfId="0" applyAlignment="1" applyBorder="1" applyFont="1">
      <alignment readingOrder="0"/>
    </xf>
    <xf borderId="10" fillId="6" fontId="2" numFmtId="168" xfId="0" applyAlignment="1" applyBorder="1" applyFont="1" applyNumberFormat="1">
      <alignment readingOrder="0"/>
    </xf>
    <xf borderId="14" fillId="6" fontId="2" numFmtId="0" xfId="0" applyAlignment="1" applyBorder="1" applyFont="1">
      <alignment readingOrder="0"/>
    </xf>
    <xf borderId="11" fillId="6" fontId="2" numFmtId="168" xfId="0" applyAlignment="1" applyBorder="1" applyFont="1" applyNumberFormat="1">
      <alignment readingOrder="0"/>
    </xf>
    <xf borderId="15" fillId="6" fontId="2" numFmtId="0" xfId="0" applyAlignment="1" applyBorder="1" applyFont="1">
      <alignment readingOrder="0"/>
    </xf>
    <xf borderId="12" fillId="6" fontId="2" numFmtId="168" xfId="0" applyAlignment="1" applyBorder="1" applyFont="1" applyNumberFormat="1">
      <alignment readingOrder="0"/>
    </xf>
    <xf borderId="9" fillId="7" fontId="1" numFmtId="0" xfId="0" applyAlignment="1" applyBorder="1" applyFont="1">
      <alignment horizontal="center" readingOrder="0" vertical="center"/>
    </xf>
    <xf borderId="0" fillId="7" fontId="2" numFmtId="168" xfId="0" applyAlignment="1" applyFont="1" applyNumberFormat="1">
      <alignment horizontal="right" readingOrder="0"/>
    </xf>
    <xf borderId="0" fillId="7" fontId="2" numFmtId="168" xfId="0" applyAlignment="1" applyFont="1" applyNumberFormat="1">
      <alignment readingOrder="0"/>
    </xf>
    <xf borderId="0" fillId="9" fontId="2" numFmtId="168" xfId="0" applyAlignment="1" applyFont="1" applyNumberFormat="1">
      <alignment readingOrder="0"/>
    </xf>
    <xf borderId="1" fillId="2" fontId="2" numFmtId="167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ccomponentes.com/servidor-hpe-proliant-dl380-gen10-plus-intel-xeon-silver-4309y-64gb-960gb-ssd-rack-2u?campaigntype=eshopping&amp;campaignchannel=shopping&amp;gad_source=1&amp;gad_campaignid=315303157&amp;gclid=CjwKCAjw0sfHBhB6EiwAQtv5qVs8lu9fnMzsDOeDsRvpLckg9r09cQqLYd78UvbYfuTIHA-vJrk-gRoCnWIQAvD_BwE" TargetMode="External"/><Relationship Id="rId22" Type="http://schemas.openxmlformats.org/officeDocument/2006/relationships/hyperlink" Target="https://www.se.com/es/es/product/SMT1500IC/sai-smartups-de-apc-de-1500-va-lcd-230-v-con-smartconnect/" TargetMode="External"/><Relationship Id="rId21" Type="http://schemas.openxmlformats.org/officeDocument/2006/relationships/hyperlink" Target="https://mercadoactual.es/startechcom-rack-armario-bastidor-abierto-de-servidores-4-columnas-42u-profundidad-ajustable-co-4postrack42.html?utm_source=K35ds43435s54koo&amp;utm_source_platform=KelkooGroup&amp;from=kelkooes&amp;utm_source=K35ds43435s54koo&amp;utm_source_platform=KelkooGroup&amp;kgclid=CjwKCAjw0sfHBhB6EiwAQtv5qQ62WQ9PFsHTQqDq6S2CeGdAZ8_F1lcSP430RIO--ONZtbphiCTq8RoCLqoQAvD_BwE&amp;gad_source=1" TargetMode="External"/><Relationship Id="rId24" Type="http://schemas.openxmlformats.org/officeDocument/2006/relationships/hyperlink" Target="https://www.microsoft.com/es-es/evalcenter/evaluate-windows-server-2022" TargetMode="External"/><Relationship Id="rId23" Type="http://schemas.openxmlformats.org/officeDocument/2006/relationships/hyperlink" Target="https://www.tp-link.com/es/business-networking/unmanaged-switch/tl-sg1024/" TargetMode="External"/><Relationship Id="rId1" Type="http://schemas.openxmlformats.org/officeDocument/2006/relationships/hyperlink" Target="https://www.hp.com" TargetMode="External"/><Relationship Id="rId2" Type="http://schemas.openxmlformats.org/officeDocument/2006/relationships/hyperlink" Target="https://www.asus.com" TargetMode="External"/><Relationship Id="rId3" Type="http://schemas.openxmlformats.org/officeDocument/2006/relationships/hyperlink" Target="https://www.fluke.com/" TargetMode="External"/><Relationship Id="rId4" Type="http://schemas.openxmlformats.org/officeDocument/2006/relationships/hyperlink" Target="https://www.jbctools.com" TargetMode="External"/><Relationship Id="rId9" Type="http://schemas.openxmlformats.org/officeDocument/2006/relationships/hyperlink" Target="https://www.amazon.es/Logitech-MK850-Teclado-inal%C3%A1mbricos-Bluetooth/dp/B01MU77FQQ?ie=UTF8&amp;tag=hydes-21&amp;hvadid=722222742448&amp;hvpos=&amp;hvexid=&amp;hvnetw=g&amp;hvrand=1893242220146053392&amp;hvpone=&amp;hvptwo=&amp;hvqmt=&amp;hvdev=c&amp;ref=pd_sl_6xn3vv9nsh_e&amp;tag=&amp;ref=&amp;adgrpid=168856555574&amp;hvpone=&amp;hvptwo=&amp;hvadid=722222742448&amp;hvpos=&amp;hvnetw=g&amp;hvrand=1893242220146053392&amp;hvqmt=&amp;hvdev=c&amp;hvdvcmdl=&amp;hvlocint=&amp;hvlocphy=1005444&amp;hvtargid=dsa-1463395464853&amp;hydadcr=&amp;mcid=&amp;gad_source=1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www.koradtechnology.com/" TargetMode="External"/><Relationship Id="rId6" Type="http://schemas.openxmlformats.org/officeDocument/2006/relationships/hyperlink" Target="https://www.ifixit.com" TargetMode="External"/><Relationship Id="rId7" Type="http://schemas.openxmlformats.org/officeDocument/2006/relationships/hyperlink" Target="https://www.info-computer.com/hp-elitedesk-800-g5-sff-core-i7-8700-32-ghz-16-gb-ddr4-256-nvme-win-11-pro-a.html" TargetMode="External"/><Relationship Id="rId8" Type="http://schemas.openxmlformats.org/officeDocument/2006/relationships/hyperlink" Target="https://www.dell.com/es-es/shop/monitor-dell-ultrasharp-27-con-concentrador-usb-c-u2722de/apd/210-ayuj/monitores-y-accesorios" TargetMode="External"/><Relationship Id="rId11" Type="http://schemas.openxmlformats.org/officeDocument/2006/relationships/hyperlink" Target="https://www.amazon.es/HP-V24v-G5-DisplayPort-Antirreflejo/dp/B0B726H77N/ref=sr_1_3?dib=eyJ2IjoiMSJ9.Ezv_Smv7VvTt_V-q4_CAkQDKWoY4DIhtfiPus6oCrtqQfW8MCCw5Sj6um_VNen6N7Dh_hqR7la6YDQb1OJHtoorv2RGuAqzHokXryEHlozJGe76DCf9PciPfo6SnE-2kFMNHcpjPu6s2kF7_D6YGh2-86NygKC3YVwL5LSY9nL0DKtmJnPhuiEVVotR0dggDQyK4lk7zpcQmfIRB6GHoDvPiEYxYlv0U95xsLxRRCP1IosTt81aYYDSEsoOZtKVQOkLQzEniQAGJ6Q_V6nhbIYhY3lW-Rfn8VyTQhWhTcrA.tCWyRuXPhTHknWJFzMH9qxafznvLK9lgN2NkN_fqQ9A&amp;dib_tag=se&amp;keywords=hp+24+monitor&amp;qid=1760682763&amp;sr=8-3" TargetMode="External"/><Relationship Id="rId10" Type="http://schemas.openxmlformats.org/officeDocument/2006/relationships/hyperlink" Target="https://www.pccomponentes.com/hp-prodesk-400-g6-intel-core-i5-9500-8gb-256gb-ssd?srsltid=AfmBOoo9N33WSkd4yMGNQ03gCIb1Y9kwukPli82oWnjOZ9Bmp26pFEV6" TargetMode="External"/><Relationship Id="rId13" Type="http://schemas.openxmlformats.org/officeDocument/2006/relationships/hyperlink" Target="https://www.pccomponentes.com/logitech-mk270-combo-teclado-y-raton-inalambrico-para-windows-raton-compacto-8-teclas-multimedia?s_kwcid=AL!14405!3!!!!x!!&amp;gad_source=1&amp;gad_campaignid=22732311568&amp;gclid=CjwKCAjw0sfHBhB6EiwAQtv5qfFlOn-HyHPnOVUjtCSwXU41TTMlW3UFUtmJ8m8mXYY5xzWZ9UbVHhoC0RgQAvD_BwE" TargetMode="External"/><Relationship Id="rId12" Type="http://schemas.openxmlformats.org/officeDocument/2006/relationships/hyperlink" Target="https://www.pccomponentes.com/brother-ecopro-mfc-j4340dwe-multifuncion-color-wifi-duplex-fax?s_kwcid=AL!14405!3!756290339497!!!g!591255306435!&amp;gad_source=1&amp;gad_campaignid=22631771274&amp;gclid=CjwKCAjwr8LHBhBKEiwAy47uUkLsOOTDvrjshNgtrCO5JnrD7cQICui-7Xo0mFsKF7YAwLOA0ULCfxoC4aQQAvD_BwE" TargetMode="External"/><Relationship Id="rId15" Type="http://schemas.openxmlformats.org/officeDocument/2006/relationships/hyperlink" Target="https://www.pccomponentes.com/brother-mfc-j5740dw-impresora-multifuncion-color-wifi?s_kwcid=AL!14405!3!756290922160!!!g!333227373339!&amp;gad_source=1&amp;gad_campaignid=22631771274&amp;gclid=CjwKCAjw0sfHBhB6EiwAQtv5qZS-2LIvTJ3IljDO3ChH5OSR8k5Vq0KfZL3LYXIdQErSDT_nMzpuMxoCEQUQAvD_BwE" TargetMode="External"/><Relationship Id="rId14" Type="http://schemas.openxmlformats.org/officeDocument/2006/relationships/hyperlink" Target="https://www.amazon.es/Panasonic-KX-TGB610SPB-Inal%C3%A1mbrico-Resistente-Reducci%C3%B3n/dp/B092S9VXCS/ref=asc_df_B092S9VXCS?mcid=364df253e6123a33b7ae6c9ed7a261e8&amp;tag=googshopes-21&amp;linkCode=df0&amp;hvadid=699690211665&amp;hvpos=&amp;hvnetw=g&amp;hvrand=8298081907619786184&amp;hvpone=&amp;hvptwo=&amp;hvqmt=&amp;hvdev=c&amp;hvdvcmdl=&amp;hvlocint=&amp;hvlocphy=1005444&amp;hvtargid=pla-1269995134059&amp;psc=1&amp;hvocijid=8298081907619786184-B092S9VXCS-&amp;hvexpln=0" TargetMode="External"/><Relationship Id="rId17" Type="http://schemas.openxmlformats.org/officeDocument/2006/relationships/hyperlink" Target="https://www.lg.com/us/monitors/lg-27gl83a-b-gaming-monitor" TargetMode="External"/><Relationship Id="rId16" Type="http://schemas.openxmlformats.org/officeDocument/2006/relationships/hyperlink" Target="https://www.pccomponentes.com/ordenador-sobremesa-dell-slim-ecs1250-intel-core-i7-14700-16gb-512gb-ssd-wifi-6-windows-11-pro?" TargetMode="External"/><Relationship Id="rId19" Type="http://schemas.openxmlformats.org/officeDocument/2006/relationships/hyperlink" Target="https://www.amazon.es/Logitech-MK295-Combo-Teclado-Inal%C3%A1mbricos/dp/B07W7KGYN1/ref=sr_1_2?__mk_es_ES=%C3%85M%C3%85%C5%BD%C3%95%C3%91&amp;crid=15I1CAJ9TIB43&amp;dib=eyJ2IjoiMSJ9.mSBtP8Jq3KcNrhcjROtsOPNe9YqsBiXgprhecChotbVX_w4qMpfvWP5Hjg2hB_mRPf6MZ6XUnBDn0Dhz0TRr8-NxEfKDmo0fGS6VZ2dT9PdRtSNeaZs8OjfpRqrNVXX99_d4dXkWB3EhBZ5nXTs8F7EHZuZEB6W9dmk7DxBzuSI5dwXVmK3IF64DxO-1og7AdSyDiNjH9tc0B4jaVNeCHQUPxoAMAiUr-TlZ3HjMI_FgFwjyC3L0cWXgPoGi4sI0-0jwS_MmLxXYoxfYfPetV9MJz9TgbeUdXhSdJiBTtoA.qbdOqPX2GTcdo6-QC4scCXAnp14h86ULIjiMUwBZK-Q&amp;dib_tag=se&amp;keywords=teclado%2By%2Braton%2Blogitec&amp;qid=1760695930&amp;s=electronics&amp;sprefix=teclado%2By%2Braton%2Blogitec%2Celectronics%2C102&amp;sr=1-2&amp;th=1" TargetMode="External"/><Relationship Id="rId18" Type="http://schemas.openxmlformats.org/officeDocument/2006/relationships/hyperlink" Target="https://www.dell.com/es-es/shop/monitor-dell-24-p2422h/apd/210-azyx/monitores-y-accesorios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envoy.com/" TargetMode="External"/><Relationship Id="rId21" Type="http://schemas.openxmlformats.org/officeDocument/2006/relationships/drawing" Target="../drawings/drawing2.xml"/><Relationship Id="rId1" Type="http://schemas.openxmlformats.org/officeDocument/2006/relationships/hyperlink" Target="https://code.visualstudio.com/license" TargetMode="External"/><Relationship Id="rId2" Type="http://schemas.openxmlformats.org/officeDocument/2006/relationships/hyperlink" Target="https://www.jetbrains.com/legal/licenses/" TargetMode="External"/><Relationship Id="rId3" Type="http://schemas.openxmlformats.org/officeDocument/2006/relationships/hyperlink" Target="https://git-scm.com/about/free-and-open-source" TargetMode="External"/><Relationship Id="rId4" Type="http://schemas.openxmlformats.org/officeDocument/2006/relationships/hyperlink" Target="https://www.docker.com/legal/licensing/" TargetMode="External"/><Relationship Id="rId9" Type="http://schemas.openxmlformats.org/officeDocument/2006/relationships/hyperlink" Target="https://www.clamav.net/documents/license" TargetMode="External"/><Relationship Id="rId5" Type="http://schemas.openxmlformats.org/officeDocument/2006/relationships/hyperlink" Target="https://trello.com/legal" TargetMode="External"/><Relationship Id="rId6" Type="http://schemas.openxmlformats.org/officeDocument/2006/relationships/hyperlink" Target="https://canonical.com/legal/intellectual-property-policy" TargetMode="External"/><Relationship Id="rId7" Type="http://schemas.openxmlformats.org/officeDocument/2006/relationships/hyperlink" Target="https://mariadb.org/about/license/" TargetMode="External"/><Relationship Id="rId8" Type="http://schemas.openxmlformats.org/officeDocument/2006/relationships/hyperlink" Target="https://www.proxmox.com/legal" TargetMode="External"/><Relationship Id="rId11" Type="http://schemas.openxmlformats.org/officeDocument/2006/relationships/hyperlink" Target="https://crystalmark.info" TargetMode="External"/><Relationship Id="rId10" Type="http://schemas.openxmlformats.org/officeDocument/2006/relationships/hyperlink" Target="https://www.cpuid.com" TargetMode="External"/><Relationship Id="rId13" Type="http://schemas.openxmlformats.org/officeDocument/2006/relationships/hyperlink" Target="https://rufus.ie" TargetMode="External"/><Relationship Id="rId12" Type="http://schemas.openxmlformats.org/officeDocument/2006/relationships/hyperlink" Target="https://www.ccleaner.com/recuva" TargetMode="External"/><Relationship Id="rId15" Type="http://schemas.openxmlformats.org/officeDocument/2006/relationships/hyperlink" Target="https://ubuntu.com/" TargetMode="External"/><Relationship Id="rId14" Type="http://schemas.openxmlformats.org/officeDocument/2006/relationships/hyperlink" Target="https://www.microsoft.com/" TargetMode="External"/><Relationship Id="rId17" Type="http://schemas.openxmlformats.org/officeDocument/2006/relationships/hyperlink" Target="https://microsoft.com" TargetMode="External"/><Relationship Id="rId16" Type="http://schemas.openxmlformats.org/officeDocument/2006/relationships/hyperlink" Target="https://www.microsoft.com/es-es/microsoft-365/business" TargetMode="External"/><Relationship Id="rId19" Type="http://schemas.openxmlformats.org/officeDocument/2006/relationships/hyperlink" Target="https://www.microsoft.com/es-es/microsoft-365/business" TargetMode="External"/><Relationship Id="rId18" Type="http://schemas.openxmlformats.org/officeDocument/2006/relationships/hyperlink" Target="https://www.ccleaner.com/recuva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ofiprix.com" TargetMode="External"/><Relationship Id="rId22" Type="http://schemas.openxmlformats.org/officeDocument/2006/relationships/hyperlink" Target="http://pccomponentes.com" TargetMode="External"/><Relationship Id="rId21" Type="http://schemas.openxmlformats.org/officeDocument/2006/relationships/hyperlink" Target="http://ofiprix.com" TargetMode="External"/><Relationship Id="rId24" Type="http://schemas.openxmlformats.org/officeDocument/2006/relationships/hyperlink" Target="http://ofiprix.com" TargetMode="External"/><Relationship Id="rId23" Type="http://schemas.openxmlformats.org/officeDocument/2006/relationships/hyperlink" Target="http://pccomponentes.com" TargetMode="External"/><Relationship Id="rId1" Type="http://schemas.openxmlformats.org/officeDocument/2006/relationships/hyperlink" Target="https://www.amazon.es" TargetMode="External"/><Relationship Id="rId2" Type="http://schemas.openxmlformats.org/officeDocument/2006/relationships/hyperlink" Target="https://www.ikea.com" TargetMode="External"/><Relationship Id="rId3" Type="http://schemas.openxmlformats.org/officeDocument/2006/relationships/hyperlink" Target="https://www.leroymerlin.es" TargetMode="External"/><Relationship Id="rId4" Type="http://schemas.openxmlformats.org/officeDocument/2006/relationships/hyperlink" Target="https://www.amazon.es" TargetMode="External"/><Relationship Id="rId9" Type="http://schemas.openxmlformats.org/officeDocument/2006/relationships/hyperlink" Target="https://oficit.com/" TargetMode="External"/><Relationship Id="rId26" Type="http://schemas.openxmlformats.org/officeDocument/2006/relationships/hyperlink" Target="http://lacasadelalampara.com" TargetMode="External"/><Relationship Id="rId25" Type="http://schemas.openxmlformats.org/officeDocument/2006/relationships/hyperlink" Target="http://ofiprix.com" TargetMode="External"/><Relationship Id="rId28" Type="http://schemas.openxmlformats.org/officeDocument/2006/relationships/hyperlink" Target="https://www.amazon.es/" TargetMode="External"/><Relationship Id="rId27" Type="http://schemas.openxmlformats.org/officeDocument/2006/relationships/hyperlink" Target="https://www.amazon.es/" TargetMode="External"/><Relationship Id="rId5" Type="http://schemas.openxmlformats.org/officeDocument/2006/relationships/hyperlink" Target="https://oficit.com/" TargetMode="External"/><Relationship Id="rId6" Type="http://schemas.openxmlformats.org/officeDocument/2006/relationships/hyperlink" Target="https://ofival.es" TargetMode="External"/><Relationship Id="rId29" Type="http://schemas.openxmlformats.org/officeDocument/2006/relationships/hyperlink" Target="https://www.leroymerlin.es/" TargetMode="External"/><Relationship Id="rId7" Type="http://schemas.openxmlformats.org/officeDocument/2006/relationships/hyperlink" Target="https://ofiprix.com/" TargetMode="External"/><Relationship Id="rId8" Type="http://schemas.openxmlformats.org/officeDocument/2006/relationships/hyperlink" Target="https://jgorbe.com/" TargetMode="External"/><Relationship Id="rId31" Type="http://schemas.openxmlformats.org/officeDocument/2006/relationships/hyperlink" Target="https://www.leroymerlin.es/" TargetMode="External"/><Relationship Id="rId30" Type="http://schemas.openxmlformats.org/officeDocument/2006/relationships/hyperlink" Target="https://www.leroymerlin.es/" TargetMode="External"/><Relationship Id="rId11" Type="http://schemas.openxmlformats.org/officeDocument/2006/relationships/hyperlink" Target="https://www.lacasadelalampara.com/" TargetMode="External"/><Relationship Id="rId33" Type="http://schemas.openxmlformats.org/officeDocument/2006/relationships/hyperlink" Target="https://www.amazon.es/" TargetMode="External"/><Relationship Id="rId10" Type="http://schemas.openxmlformats.org/officeDocument/2006/relationships/hyperlink" Target="https://ofiprix.com/" TargetMode="External"/><Relationship Id="rId32" Type="http://schemas.openxmlformats.org/officeDocument/2006/relationships/hyperlink" Target="https://www.amazon.es/" TargetMode="External"/><Relationship Id="rId13" Type="http://schemas.openxmlformats.org/officeDocument/2006/relationships/hyperlink" Target="https://ofival.es/" TargetMode="External"/><Relationship Id="rId35" Type="http://schemas.openxmlformats.org/officeDocument/2006/relationships/hyperlink" Target="https://www.amazon.es/" TargetMode="External"/><Relationship Id="rId12" Type="http://schemas.openxmlformats.org/officeDocument/2006/relationships/hyperlink" Target="https://www.ofiprix.com" TargetMode="External"/><Relationship Id="rId34" Type="http://schemas.openxmlformats.org/officeDocument/2006/relationships/hyperlink" Target="https://www.amazon.es" TargetMode="External"/><Relationship Id="rId15" Type="http://schemas.openxmlformats.org/officeDocument/2006/relationships/hyperlink" Target="https://decoraoficina.es/" TargetMode="External"/><Relationship Id="rId14" Type="http://schemas.openxmlformats.org/officeDocument/2006/relationships/hyperlink" Target="https://tecno-oficinas.com/" TargetMode="External"/><Relationship Id="rId36" Type="http://schemas.openxmlformats.org/officeDocument/2006/relationships/drawing" Target="../drawings/drawing3.xml"/><Relationship Id="rId17" Type="http://schemas.openxmlformats.org/officeDocument/2006/relationships/hyperlink" Target="https://decoraoficina.es/" TargetMode="External"/><Relationship Id="rId16" Type="http://schemas.openxmlformats.org/officeDocument/2006/relationships/hyperlink" Target="https://ofiprix.com/" TargetMode="External"/><Relationship Id="rId19" Type="http://schemas.openxmlformats.org/officeDocument/2006/relationships/hyperlink" Target="http://ofival.es" TargetMode="External"/><Relationship Id="rId18" Type="http://schemas.openxmlformats.org/officeDocument/2006/relationships/hyperlink" Target="https://www.lacasadelalampara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43.88"/>
    <col customWidth="1" min="4" max="4" width="106.0"/>
    <col customWidth="1" min="5" max="5" width="26.75"/>
    <col customWidth="1" min="6" max="6" width="43.63"/>
    <col customWidth="1" min="7" max="7" width="25.75"/>
    <col customWidth="1" min="8" max="8" width="7.0"/>
    <col customWidth="1" min="9" max="9" width="19.0"/>
    <col customWidth="1" min="10" max="10" width="38.13"/>
    <col customWidth="1" min="11" max="11" width="43.38"/>
    <col customWidth="1" min="12" max="12" width="25.75"/>
    <col customWidth="1" min="13" max="13" width="54.75"/>
  </cols>
  <sheetData>
    <row r="2">
      <c r="B2" s="1" t="s">
        <v>0</v>
      </c>
      <c r="C2" s="2" t="s">
        <v>1</v>
      </c>
      <c r="D2" s="2" t="s">
        <v>2</v>
      </c>
      <c r="E2" s="2" t="s">
        <v>3</v>
      </c>
    </row>
    <row r="3">
      <c r="B3" s="3" t="s">
        <v>4</v>
      </c>
      <c r="C3" s="4" t="s">
        <v>5</v>
      </c>
      <c r="D3" s="4" t="s">
        <v>6</v>
      </c>
      <c r="E3" s="5" t="s">
        <v>7</v>
      </c>
    </row>
    <row r="4">
      <c r="B4" s="6"/>
      <c r="C4" s="4" t="s">
        <v>8</v>
      </c>
      <c r="D4" s="4" t="s">
        <v>9</v>
      </c>
      <c r="E4" s="5" t="s">
        <v>10</v>
      </c>
    </row>
    <row r="5">
      <c r="B5" s="6"/>
      <c r="C5" s="4" t="s">
        <v>11</v>
      </c>
      <c r="D5" s="4" t="s">
        <v>12</v>
      </c>
      <c r="E5" s="7" t="s">
        <v>13</v>
      </c>
    </row>
    <row r="6">
      <c r="B6" s="6"/>
      <c r="C6" s="4" t="s">
        <v>14</v>
      </c>
      <c r="D6" s="4" t="s">
        <v>15</v>
      </c>
      <c r="E6" s="5" t="s">
        <v>16</v>
      </c>
    </row>
    <row r="7">
      <c r="B7" s="6"/>
      <c r="C7" s="4" t="s">
        <v>17</v>
      </c>
      <c r="D7" s="4" t="s">
        <v>18</v>
      </c>
      <c r="E7" s="7" t="s">
        <v>19</v>
      </c>
    </row>
    <row r="8">
      <c r="B8" s="8"/>
      <c r="C8" s="9" t="s">
        <v>20</v>
      </c>
      <c r="D8" s="9" t="s">
        <v>21</v>
      </c>
      <c r="E8" s="10" t="s">
        <v>22</v>
      </c>
    </row>
    <row r="9">
      <c r="B9" s="11" t="s">
        <v>23</v>
      </c>
      <c r="C9" s="12" t="s">
        <v>24</v>
      </c>
      <c r="D9" s="12" t="s">
        <v>25</v>
      </c>
      <c r="E9" s="13" t="s">
        <v>26</v>
      </c>
      <c r="F9" s="14" t="s">
        <v>27</v>
      </c>
      <c r="H9" s="14" t="s">
        <v>27</v>
      </c>
    </row>
    <row r="10">
      <c r="B10" s="6"/>
      <c r="C10" s="12" t="s">
        <v>28</v>
      </c>
      <c r="D10" s="12" t="s">
        <v>29</v>
      </c>
      <c r="E10" s="15" t="s">
        <v>30</v>
      </c>
      <c r="F10" s="14" t="s">
        <v>27</v>
      </c>
      <c r="H10" s="14" t="s">
        <v>27</v>
      </c>
    </row>
    <row r="11">
      <c r="B11" s="6"/>
      <c r="C11" s="16" t="s">
        <v>31</v>
      </c>
      <c r="D11" s="16" t="s">
        <v>32</v>
      </c>
      <c r="E11" s="17" t="s">
        <v>33</v>
      </c>
      <c r="F11" s="14" t="s">
        <v>27</v>
      </c>
      <c r="H11" s="14" t="s">
        <v>27</v>
      </c>
    </row>
    <row r="12">
      <c r="B12" s="18" t="s">
        <v>34</v>
      </c>
      <c r="C12" s="19" t="s">
        <v>35</v>
      </c>
      <c r="D12" s="19" t="s">
        <v>36</v>
      </c>
      <c r="E12" s="20" t="s">
        <v>37</v>
      </c>
      <c r="F12" s="14" t="s">
        <v>27</v>
      </c>
      <c r="H12" s="14" t="s">
        <v>27</v>
      </c>
    </row>
    <row r="13">
      <c r="B13" s="6"/>
      <c r="C13" s="19" t="s">
        <v>38</v>
      </c>
      <c r="D13" s="19" t="s">
        <v>39</v>
      </c>
      <c r="E13" s="21" t="s">
        <v>40</v>
      </c>
      <c r="F13" s="14" t="s">
        <v>27</v>
      </c>
      <c r="H13" s="14" t="s">
        <v>27</v>
      </c>
    </row>
    <row r="14">
      <c r="B14" s="6"/>
      <c r="C14" s="19" t="s">
        <v>41</v>
      </c>
      <c r="D14" s="19" t="s">
        <v>42</v>
      </c>
      <c r="E14" s="21" t="s">
        <v>43</v>
      </c>
      <c r="F14" s="14" t="s">
        <v>27</v>
      </c>
      <c r="H14" s="14" t="s">
        <v>27</v>
      </c>
    </row>
    <row r="15">
      <c r="B15" s="6"/>
      <c r="C15" s="19" t="s">
        <v>44</v>
      </c>
      <c r="D15" s="19" t="s">
        <v>45</v>
      </c>
      <c r="E15" s="21" t="s">
        <v>46</v>
      </c>
      <c r="F15" s="14" t="s">
        <v>27</v>
      </c>
      <c r="H15" s="14" t="s">
        <v>27</v>
      </c>
    </row>
    <row r="16">
      <c r="B16" s="8"/>
      <c r="C16" s="22" t="s">
        <v>47</v>
      </c>
      <c r="D16" s="22" t="s">
        <v>48</v>
      </c>
      <c r="E16" s="23" t="s">
        <v>49</v>
      </c>
      <c r="F16" s="14" t="s">
        <v>27</v>
      </c>
      <c r="H16" s="14" t="s">
        <v>27</v>
      </c>
    </row>
    <row r="17">
      <c r="B17" s="24" t="s">
        <v>50</v>
      </c>
      <c r="C17" s="25" t="s">
        <v>51</v>
      </c>
      <c r="D17" s="25" t="s">
        <v>42</v>
      </c>
      <c r="E17" s="26" t="s">
        <v>52</v>
      </c>
      <c r="F17" s="14" t="s">
        <v>27</v>
      </c>
      <c r="H17" s="14" t="s">
        <v>27</v>
      </c>
    </row>
    <row r="18">
      <c r="B18" s="27" t="s">
        <v>53</v>
      </c>
      <c r="C18" s="28" t="s">
        <v>54</v>
      </c>
      <c r="D18" s="28" t="s">
        <v>55</v>
      </c>
      <c r="E18" s="29" t="s">
        <v>56</v>
      </c>
      <c r="F18" s="30"/>
      <c r="H18" s="14" t="s">
        <v>27</v>
      </c>
      <c r="N18" s="2" t="s">
        <v>57</v>
      </c>
    </row>
    <row r="19">
      <c r="C19" s="28" t="s">
        <v>58</v>
      </c>
      <c r="D19" s="28" t="s">
        <v>59</v>
      </c>
      <c r="E19" s="29" t="s">
        <v>60</v>
      </c>
      <c r="F19" s="30"/>
      <c r="H19" s="14" t="s">
        <v>27</v>
      </c>
      <c r="N19" s="4" t="s">
        <v>61</v>
      </c>
    </row>
    <row r="20">
      <c r="C20" s="28" t="s">
        <v>62</v>
      </c>
      <c r="D20" s="28" t="s">
        <v>63</v>
      </c>
      <c r="E20" s="29" t="s">
        <v>64</v>
      </c>
      <c r="F20" s="30"/>
      <c r="N20" s="4" t="s">
        <v>65</v>
      </c>
    </row>
    <row r="21">
      <c r="C21" s="28" t="s">
        <v>66</v>
      </c>
      <c r="D21" s="28" t="s">
        <v>67</v>
      </c>
      <c r="E21" s="29" t="s">
        <v>68</v>
      </c>
      <c r="F21" s="30"/>
      <c r="N21" s="4" t="s">
        <v>69</v>
      </c>
    </row>
    <row r="22">
      <c r="B22" s="31" t="s">
        <v>70</v>
      </c>
      <c r="C22" s="32" t="s">
        <v>71</v>
      </c>
      <c r="D22" s="32" t="s">
        <v>72</v>
      </c>
      <c r="E22" s="33" t="s">
        <v>73</v>
      </c>
      <c r="F22" s="30"/>
      <c r="N22" s="4" t="s">
        <v>74</v>
      </c>
    </row>
    <row r="23">
      <c r="C23" s="32" t="s">
        <v>75</v>
      </c>
      <c r="D23" s="32" t="s">
        <v>76</v>
      </c>
      <c r="E23" s="33" t="s">
        <v>77</v>
      </c>
      <c r="F23" s="30"/>
      <c r="N23" s="4" t="s">
        <v>78</v>
      </c>
    </row>
    <row r="24">
      <c r="C24" s="32" t="s">
        <v>79</v>
      </c>
      <c r="D24" s="32" t="s">
        <v>80</v>
      </c>
      <c r="E24" s="33" t="s">
        <v>81</v>
      </c>
    </row>
    <row r="25">
      <c r="C25" s="32" t="s">
        <v>82</v>
      </c>
      <c r="D25" s="32" t="s">
        <v>83</v>
      </c>
      <c r="E25" s="33" t="s">
        <v>84</v>
      </c>
    </row>
    <row r="26">
      <c r="C26" s="32" t="s">
        <v>85</v>
      </c>
      <c r="D26" s="32" t="s">
        <v>86</v>
      </c>
      <c r="E26" s="33" t="s">
        <v>87</v>
      </c>
    </row>
    <row r="999">
      <c r="H999" s="14" t="s">
        <v>27</v>
      </c>
    </row>
  </sheetData>
  <mergeCells count="5">
    <mergeCell ref="B3:B8"/>
    <mergeCell ref="B9:B11"/>
    <mergeCell ref="B12:B16"/>
    <mergeCell ref="B18:B21"/>
    <mergeCell ref="B22:B26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18.38"/>
    <col customWidth="1" min="5" max="5" width="18.75"/>
    <col customWidth="1" min="6" max="6" width="108.13"/>
    <col customWidth="1" min="7" max="7" width="53.88"/>
  </cols>
  <sheetData>
    <row r="4">
      <c r="B4" s="1" t="s">
        <v>0</v>
      </c>
      <c r="C4" s="2" t="s">
        <v>88</v>
      </c>
      <c r="D4" s="2" t="s">
        <v>89</v>
      </c>
      <c r="E4" s="2" t="s">
        <v>90</v>
      </c>
      <c r="F4" s="2" t="s">
        <v>91</v>
      </c>
      <c r="G4" s="2" t="s">
        <v>92</v>
      </c>
    </row>
    <row r="5">
      <c r="A5" s="14"/>
      <c r="B5" s="34" t="s">
        <v>93</v>
      </c>
      <c r="C5" s="35" t="s">
        <v>94</v>
      </c>
      <c r="D5" s="36"/>
      <c r="E5" s="35" t="s">
        <v>95</v>
      </c>
      <c r="F5" s="35" t="s">
        <v>96</v>
      </c>
      <c r="G5" s="37" t="s">
        <v>97</v>
      </c>
    </row>
    <row r="6">
      <c r="B6" s="6"/>
      <c r="C6" s="38" t="s">
        <v>98</v>
      </c>
      <c r="D6" s="39"/>
      <c r="E6" s="40" t="s">
        <v>99</v>
      </c>
      <c r="F6" s="28" t="s">
        <v>100</v>
      </c>
      <c r="G6" s="41" t="s">
        <v>101</v>
      </c>
    </row>
    <row r="7">
      <c r="B7" s="6"/>
      <c r="C7" s="38" t="s">
        <v>102</v>
      </c>
      <c r="D7" s="39"/>
      <c r="E7" s="28" t="s">
        <v>103</v>
      </c>
      <c r="F7" s="28" t="s">
        <v>104</v>
      </c>
      <c r="G7" s="41" t="s">
        <v>105</v>
      </c>
    </row>
    <row r="8">
      <c r="B8" s="6"/>
      <c r="C8" s="28" t="s">
        <v>106</v>
      </c>
      <c r="D8" s="39"/>
      <c r="E8" s="28" t="s">
        <v>99</v>
      </c>
      <c r="F8" s="28" t="s">
        <v>107</v>
      </c>
      <c r="G8" s="41" t="s">
        <v>108</v>
      </c>
    </row>
    <row r="9">
      <c r="B9" s="8"/>
      <c r="C9" s="42" t="s">
        <v>109</v>
      </c>
      <c r="D9" s="42" t="s">
        <v>110</v>
      </c>
      <c r="E9" s="42" t="s">
        <v>111</v>
      </c>
      <c r="F9" s="42" t="s">
        <v>112</v>
      </c>
      <c r="G9" s="43" t="s">
        <v>113</v>
      </c>
    </row>
    <row r="10">
      <c r="B10" s="44" t="s">
        <v>114</v>
      </c>
      <c r="C10" s="45" t="s">
        <v>115</v>
      </c>
      <c r="D10" s="46">
        <v>45769.0</v>
      </c>
      <c r="E10" s="45" t="s">
        <v>116</v>
      </c>
      <c r="F10" s="45" t="s">
        <v>117</v>
      </c>
      <c r="G10" s="47" t="s">
        <v>118</v>
      </c>
    </row>
    <row r="11">
      <c r="B11" s="6"/>
      <c r="C11" s="32" t="s">
        <v>119</v>
      </c>
      <c r="D11" s="32" t="s">
        <v>120</v>
      </c>
      <c r="E11" s="32" t="s">
        <v>103</v>
      </c>
      <c r="F11" s="32" t="s">
        <v>121</v>
      </c>
      <c r="G11" s="48" t="s">
        <v>122</v>
      </c>
    </row>
    <row r="12">
      <c r="B12" s="6"/>
      <c r="C12" s="32" t="s">
        <v>123</v>
      </c>
      <c r="D12" s="49"/>
      <c r="E12" s="32" t="s">
        <v>124</v>
      </c>
      <c r="F12" s="32" t="s">
        <v>125</v>
      </c>
      <c r="G12" s="48" t="s">
        <v>126</v>
      </c>
    </row>
    <row r="13">
      <c r="B13" s="6"/>
      <c r="C13" s="32" t="s">
        <v>127</v>
      </c>
      <c r="D13" s="49"/>
      <c r="E13" s="32" t="s">
        <v>116</v>
      </c>
      <c r="F13" s="32" t="s">
        <v>128</v>
      </c>
      <c r="G13" s="50" t="s">
        <v>129</v>
      </c>
    </row>
    <row r="14">
      <c r="B14" s="8"/>
      <c r="C14" s="51"/>
      <c r="D14" s="51"/>
      <c r="E14" s="51"/>
      <c r="F14" s="51"/>
      <c r="G14" s="52"/>
    </row>
    <row r="15">
      <c r="B15" s="3" t="s">
        <v>4</v>
      </c>
      <c r="C15" s="53" t="s">
        <v>130</v>
      </c>
      <c r="D15" s="54" t="s">
        <v>131</v>
      </c>
      <c r="E15" s="53" t="s">
        <v>132</v>
      </c>
      <c r="F15" s="53" t="s">
        <v>133</v>
      </c>
      <c r="G15" s="55" t="s">
        <v>134</v>
      </c>
    </row>
    <row r="16">
      <c r="B16" s="6"/>
      <c r="C16" s="4" t="s">
        <v>135</v>
      </c>
      <c r="D16" s="56">
        <v>37296.0</v>
      </c>
      <c r="E16" s="4" t="s">
        <v>95</v>
      </c>
      <c r="F16" s="4" t="s">
        <v>136</v>
      </c>
      <c r="G16" s="57" t="s">
        <v>137</v>
      </c>
    </row>
    <row r="17">
      <c r="B17" s="6"/>
      <c r="C17" s="4" t="s">
        <v>138</v>
      </c>
      <c r="D17" s="58" t="s">
        <v>139</v>
      </c>
      <c r="E17" s="4" t="s">
        <v>132</v>
      </c>
      <c r="F17" s="4" t="s">
        <v>140</v>
      </c>
      <c r="G17" s="57" t="s">
        <v>141</v>
      </c>
    </row>
    <row r="18">
      <c r="B18" s="6"/>
      <c r="C18" s="4" t="s">
        <v>142</v>
      </c>
      <c r="D18" s="59">
        <v>45812.0</v>
      </c>
      <c r="E18" s="4" t="s">
        <v>143</v>
      </c>
      <c r="F18" s="4" t="s">
        <v>144</v>
      </c>
      <c r="G18" s="57" t="s">
        <v>145</v>
      </c>
    </row>
    <row r="19">
      <c r="B19" s="6"/>
      <c r="C19" s="4" t="s">
        <v>146</v>
      </c>
      <c r="D19" s="58" t="s">
        <v>147</v>
      </c>
      <c r="E19" s="4" t="s">
        <v>148</v>
      </c>
      <c r="F19" s="4" t="s">
        <v>149</v>
      </c>
      <c r="G19" s="57" t="s">
        <v>150</v>
      </c>
    </row>
    <row r="20">
      <c r="B20" s="8"/>
      <c r="C20" s="9" t="s">
        <v>151</v>
      </c>
      <c r="D20" s="60">
        <v>45771.0</v>
      </c>
      <c r="E20" s="9" t="s">
        <v>152</v>
      </c>
      <c r="F20" s="9" t="s">
        <v>153</v>
      </c>
      <c r="G20" s="61" t="s">
        <v>154</v>
      </c>
    </row>
    <row r="21">
      <c r="B21" s="11" t="s">
        <v>23</v>
      </c>
      <c r="C21" s="62" t="s">
        <v>155</v>
      </c>
      <c r="D21" s="63">
        <v>2025.0</v>
      </c>
      <c r="E21" s="62" t="s">
        <v>156</v>
      </c>
      <c r="F21" s="62" t="s">
        <v>157</v>
      </c>
      <c r="G21" s="64" t="s">
        <v>158</v>
      </c>
    </row>
    <row r="22">
      <c r="B22" s="6"/>
      <c r="C22" s="12" t="s">
        <v>159</v>
      </c>
      <c r="D22" s="65" t="s">
        <v>160</v>
      </c>
      <c r="E22" s="12" t="s">
        <v>148</v>
      </c>
      <c r="F22" s="12" t="s">
        <v>161</v>
      </c>
      <c r="G22" s="66" t="s">
        <v>162</v>
      </c>
    </row>
    <row r="23">
      <c r="B23" s="6"/>
      <c r="C23" s="12" t="s">
        <v>163</v>
      </c>
      <c r="D23" s="65" t="s">
        <v>164</v>
      </c>
      <c r="E23" s="12" t="s">
        <v>156</v>
      </c>
      <c r="F23" s="12" t="s">
        <v>165</v>
      </c>
      <c r="G23" s="67" t="s">
        <v>141</v>
      </c>
    </row>
    <row r="24">
      <c r="B24" s="18" t="s">
        <v>34</v>
      </c>
      <c r="C24" s="68" t="s">
        <v>166</v>
      </c>
      <c r="D24" s="69">
        <v>2025.0</v>
      </c>
      <c r="E24" s="68" t="s">
        <v>156</v>
      </c>
      <c r="F24" s="68" t="s">
        <v>167</v>
      </c>
      <c r="G24" s="70" t="s">
        <v>158</v>
      </c>
    </row>
    <row r="25">
      <c r="B25" s="8"/>
      <c r="C25" s="22" t="s">
        <v>168</v>
      </c>
      <c r="D25" s="71" t="s">
        <v>169</v>
      </c>
      <c r="E25" s="22" t="s">
        <v>111</v>
      </c>
      <c r="F25" s="22" t="s">
        <v>170</v>
      </c>
      <c r="G25" s="72" t="s">
        <v>171</v>
      </c>
    </row>
  </sheetData>
  <mergeCells count="5">
    <mergeCell ref="B5:B9"/>
    <mergeCell ref="B10:B14"/>
    <mergeCell ref="B15:B20"/>
    <mergeCell ref="B21:B23"/>
    <mergeCell ref="B24:B25"/>
  </mergeCells>
  <hyperlinks>
    <hyperlink r:id="rId1" ref="G5"/>
    <hyperlink r:id="rId2" ref="G6"/>
    <hyperlink r:id="rId3" ref="G7"/>
    <hyperlink r:id="rId4" ref="G8"/>
    <hyperlink r:id="rId5" ref="G9"/>
    <hyperlink r:id="rId6" ref="G10"/>
    <hyperlink r:id="rId7" ref="G11"/>
    <hyperlink r:id="rId8" ref="G12"/>
    <hyperlink r:id="rId9" ref="G13"/>
    <hyperlink r:id="rId10" ref="G15"/>
    <hyperlink r:id="rId11" ref="G16"/>
    <hyperlink r:id="rId12" ref="G17"/>
    <hyperlink r:id="rId13" ref="G18"/>
    <hyperlink r:id="rId14" ref="G19"/>
    <hyperlink r:id="rId15" ref="G20"/>
    <hyperlink r:id="rId16" ref="G21"/>
    <hyperlink r:id="rId17" ref="G22"/>
    <hyperlink r:id="rId18" ref="G23"/>
    <hyperlink r:id="rId19" ref="G24"/>
    <hyperlink r:id="rId20" ref="G25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46.75"/>
    <col customWidth="1" min="4" max="4" width="63.75"/>
    <col customWidth="1" min="5" max="5" width="75.5"/>
    <col customWidth="1" min="6" max="6" width="23.38"/>
  </cols>
  <sheetData>
    <row r="3">
      <c r="B3" s="1" t="s">
        <v>0</v>
      </c>
      <c r="C3" s="2" t="s">
        <v>172</v>
      </c>
      <c r="D3" s="2" t="s">
        <v>173</v>
      </c>
      <c r="E3" s="2" t="s">
        <v>174</v>
      </c>
      <c r="F3" s="2" t="s">
        <v>3</v>
      </c>
    </row>
    <row r="4">
      <c r="B4" s="3" t="s">
        <v>4</v>
      </c>
      <c r="C4" s="53" t="s">
        <v>175</v>
      </c>
      <c r="D4" s="53" t="s">
        <v>176</v>
      </c>
      <c r="E4" s="53" t="s">
        <v>177</v>
      </c>
      <c r="F4" s="55" t="s">
        <v>178</v>
      </c>
    </row>
    <row r="5">
      <c r="B5" s="6"/>
      <c r="C5" s="4" t="s">
        <v>179</v>
      </c>
      <c r="D5" s="4" t="s">
        <v>180</v>
      </c>
      <c r="E5" s="4" t="s">
        <v>181</v>
      </c>
      <c r="F5" s="57" t="s">
        <v>182</v>
      </c>
    </row>
    <row r="6">
      <c r="B6" s="6"/>
      <c r="C6" s="4" t="s">
        <v>183</v>
      </c>
      <c r="D6" s="4" t="s">
        <v>184</v>
      </c>
      <c r="E6" s="4" t="s">
        <v>185</v>
      </c>
      <c r="F6" s="57" t="s">
        <v>186</v>
      </c>
    </row>
    <row r="7">
      <c r="B7" s="8"/>
      <c r="C7" s="9" t="s">
        <v>187</v>
      </c>
      <c r="D7" s="9" t="s">
        <v>188</v>
      </c>
      <c r="E7" s="9" t="s">
        <v>189</v>
      </c>
      <c r="F7" s="61" t="s">
        <v>178</v>
      </c>
    </row>
    <row r="8">
      <c r="B8" s="11" t="s">
        <v>23</v>
      </c>
      <c r="C8" s="62" t="s">
        <v>190</v>
      </c>
      <c r="D8" s="62" t="s">
        <v>191</v>
      </c>
      <c r="E8" s="62" t="s">
        <v>192</v>
      </c>
      <c r="F8" s="64" t="s">
        <v>193</v>
      </c>
    </row>
    <row r="9">
      <c r="B9" s="6"/>
      <c r="C9" s="12" t="s">
        <v>194</v>
      </c>
      <c r="D9" s="12" t="s">
        <v>195</v>
      </c>
      <c r="E9" s="12" t="s">
        <v>196</v>
      </c>
      <c r="F9" s="67" t="s">
        <v>197</v>
      </c>
    </row>
    <row r="10">
      <c r="B10" s="6"/>
      <c r="C10" s="12" t="s">
        <v>198</v>
      </c>
      <c r="D10" s="12" t="s">
        <v>199</v>
      </c>
      <c r="E10" s="12" t="s">
        <v>200</v>
      </c>
      <c r="F10" s="66" t="s">
        <v>201</v>
      </c>
    </row>
    <row r="11">
      <c r="B11" s="6"/>
      <c r="C11" s="12" t="s">
        <v>202</v>
      </c>
      <c r="D11" s="12" t="s">
        <v>203</v>
      </c>
      <c r="E11" s="12" t="s">
        <v>204</v>
      </c>
      <c r="F11" s="66" t="s">
        <v>205</v>
      </c>
    </row>
    <row r="12">
      <c r="B12" s="6"/>
      <c r="C12" s="12" t="s">
        <v>206</v>
      </c>
      <c r="D12" s="12" t="s">
        <v>207</v>
      </c>
      <c r="E12" s="12" t="s">
        <v>208</v>
      </c>
      <c r="F12" s="66" t="s">
        <v>193</v>
      </c>
    </row>
    <row r="13">
      <c r="B13" s="6"/>
      <c r="C13" s="12" t="s">
        <v>209</v>
      </c>
      <c r="D13" s="12" t="s">
        <v>210</v>
      </c>
      <c r="E13" s="12" t="s">
        <v>211</v>
      </c>
      <c r="F13" s="66" t="s">
        <v>201</v>
      </c>
    </row>
    <row r="14">
      <c r="B14" s="8"/>
      <c r="C14" s="16" t="s">
        <v>212</v>
      </c>
      <c r="D14" s="16" t="s">
        <v>213</v>
      </c>
      <c r="E14" s="16" t="s">
        <v>214</v>
      </c>
      <c r="F14" s="73" t="s">
        <v>215</v>
      </c>
      <c r="G14" s="14" t="s">
        <v>27</v>
      </c>
    </row>
    <row r="15">
      <c r="B15" s="18" t="s">
        <v>34</v>
      </c>
      <c r="C15" s="68" t="s">
        <v>216</v>
      </c>
      <c r="D15" s="68" t="s">
        <v>217</v>
      </c>
      <c r="E15" s="68" t="s">
        <v>218</v>
      </c>
      <c r="F15" s="74" t="s">
        <v>219</v>
      </c>
    </row>
    <row r="16">
      <c r="B16" s="6"/>
      <c r="C16" s="19" t="s">
        <v>220</v>
      </c>
      <c r="D16" s="19" t="s">
        <v>221</v>
      </c>
      <c r="E16" s="19" t="s">
        <v>222</v>
      </c>
      <c r="F16" s="75" t="s">
        <v>197</v>
      </c>
    </row>
    <row r="17">
      <c r="B17" s="6"/>
      <c r="C17" s="19" t="s">
        <v>223</v>
      </c>
      <c r="D17" s="19" t="s">
        <v>224</v>
      </c>
      <c r="E17" s="19" t="s">
        <v>225</v>
      </c>
      <c r="F17" s="75" t="s">
        <v>226</v>
      </c>
    </row>
    <row r="18">
      <c r="B18" s="6"/>
      <c r="C18" s="19" t="s">
        <v>227</v>
      </c>
      <c r="D18" s="19" t="s">
        <v>228</v>
      </c>
      <c r="E18" s="19" t="s">
        <v>229</v>
      </c>
      <c r="F18" s="75" t="s">
        <v>230</v>
      </c>
    </row>
    <row r="19">
      <c r="B19" s="6"/>
      <c r="C19" s="19" t="s">
        <v>231</v>
      </c>
      <c r="D19" s="19" t="s">
        <v>232</v>
      </c>
      <c r="E19" s="19" t="s">
        <v>233</v>
      </c>
      <c r="F19" s="75" t="s">
        <v>201</v>
      </c>
    </row>
    <row r="20">
      <c r="B20" s="6"/>
      <c r="C20" s="19" t="s">
        <v>234</v>
      </c>
      <c r="D20" s="19" t="s">
        <v>235</v>
      </c>
      <c r="E20" s="19" t="s">
        <v>236</v>
      </c>
      <c r="F20" s="75" t="s">
        <v>230</v>
      </c>
    </row>
    <row r="21">
      <c r="B21" s="8"/>
      <c r="C21" s="22" t="s">
        <v>237</v>
      </c>
      <c r="D21" s="22" t="s">
        <v>238</v>
      </c>
      <c r="E21" s="22" t="s">
        <v>239</v>
      </c>
      <c r="F21" s="76" t="s">
        <v>215</v>
      </c>
    </row>
    <row r="22">
      <c r="B22" s="77" t="s">
        <v>50</v>
      </c>
      <c r="C22" s="78" t="s">
        <v>240</v>
      </c>
      <c r="D22" s="78" t="s">
        <v>241</v>
      </c>
      <c r="E22" s="78" t="s">
        <v>242</v>
      </c>
      <c r="F22" s="79" t="s">
        <v>243</v>
      </c>
    </row>
    <row r="23">
      <c r="B23" s="6"/>
      <c r="C23" s="80" t="s">
        <v>244</v>
      </c>
      <c r="D23" s="80" t="s">
        <v>245</v>
      </c>
      <c r="E23" s="80" t="s">
        <v>246</v>
      </c>
      <c r="F23" s="81" t="s">
        <v>247</v>
      </c>
    </row>
    <row r="24">
      <c r="B24" s="6"/>
      <c r="C24" s="80" t="s">
        <v>248</v>
      </c>
      <c r="D24" s="80" t="s">
        <v>249</v>
      </c>
      <c r="E24" s="80" t="s">
        <v>250</v>
      </c>
      <c r="F24" s="81" t="s">
        <v>247</v>
      </c>
    </row>
    <row r="25">
      <c r="B25" s="6"/>
      <c r="C25" s="80" t="s">
        <v>251</v>
      </c>
      <c r="D25" s="80" t="s">
        <v>252</v>
      </c>
      <c r="E25" s="80" t="s">
        <v>253</v>
      </c>
      <c r="F25" s="81" t="s">
        <v>254</v>
      </c>
    </row>
    <row r="26">
      <c r="B26" s="6"/>
      <c r="C26" s="80" t="s">
        <v>255</v>
      </c>
      <c r="D26" s="80" t="s">
        <v>256</v>
      </c>
      <c r="E26" s="80" t="s">
        <v>257</v>
      </c>
      <c r="F26" s="81" t="s">
        <v>254</v>
      </c>
    </row>
    <row r="27">
      <c r="B27" s="6"/>
      <c r="C27" s="80" t="s">
        <v>258</v>
      </c>
      <c r="D27" s="80" t="s">
        <v>259</v>
      </c>
      <c r="E27" s="80" t="s">
        <v>260</v>
      </c>
      <c r="F27" s="81" t="s">
        <v>247</v>
      </c>
    </row>
    <row r="28">
      <c r="B28" s="6"/>
      <c r="C28" s="80" t="s">
        <v>261</v>
      </c>
      <c r="D28" s="80" t="s">
        <v>262</v>
      </c>
      <c r="E28" s="80" t="s">
        <v>263</v>
      </c>
      <c r="F28" s="81" t="s">
        <v>247</v>
      </c>
    </row>
    <row r="29">
      <c r="B29" s="8"/>
      <c r="C29" s="82" t="s">
        <v>264</v>
      </c>
      <c r="D29" s="82" t="s">
        <v>265</v>
      </c>
      <c r="E29" s="82" t="s">
        <v>266</v>
      </c>
      <c r="F29" s="83" t="s">
        <v>267</v>
      </c>
    </row>
    <row r="30">
      <c r="B30" s="27" t="s">
        <v>93</v>
      </c>
      <c r="C30" s="28" t="s">
        <v>268</v>
      </c>
      <c r="D30" s="28" t="s">
        <v>269</v>
      </c>
      <c r="E30" s="28" t="s">
        <v>270</v>
      </c>
      <c r="F30" s="29" t="s">
        <v>178</v>
      </c>
    </row>
    <row r="31">
      <c r="C31" s="28" t="s">
        <v>271</v>
      </c>
      <c r="D31" s="28" t="s">
        <v>272</v>
      </c>
      <c r="E31" s="28" t="s">
        <v>273</v>
      </c>
      <c r="F31" s="29" t="s">
        <v>178</v>
      </c>
    </row>
    <row r="32">
      <c r="C32" s="28" t="s">
        <v>274</v>
      </c>
      <c r="D32" s="28" t="s">
        <v>275</v>
      </c>
      <c r="E32" s="28" t="s">
        <v>276</v>
      </c>
      <c r="F32" s="29" t="s">
        <v>277</v>
      </c>
    </row>
    <row r="33">
      <c r="C33" s="28" t="s">
        <v>278</v>
      </c>
      <c r="D33" s="28" t="s">
        <v>279</v>
      </c>
      <c r="E33" s="28" t="s">
        <v>280</v>
      </c>
      <c r="F33" s="29" t="s">
        <v>277</v>
      </c>
    </row>
    <row r="34">
      <c r="C34" s="28" t="s">
        <v>281</v>
      </c>
      <c r="D34" s="28" t="s">
        <v>282</v>
      </c>
      <c r="E34" s="28" t="s">
        <v>283</v>
      </c>
      <c r="F34" s="29" t="s">
        <v>277</v>
      </c>
    </row>
    <row r="35">
      <c r="B35" s="31" t="s">
        <v>114</v>
      </c>
      <c r="C35" s="32" t="s">
        <v>284</v>
      </c>
      <c r="D35" s="32" t="s">
        <v>285</v>
      </c>
      <c r="E35" s="32" t="s">
        <v>286</v>
      </c>
      <c r="F35" s="33" t="s">
        <v>178</v>
      </c>
    </row>
    <row r="36">
      <c r="C36" s="32" t="s">
        <v>287</v>
      </c>
      <c r="D36" s="32" t="s">
        <v>288</v>
      </c>
      <c r="E36" s="32" t="s">
        <v>289</v>
      </c>
      <c r="F36" s="33" t="s">
        <v>178</v>
      </c>
    </row>
    <row r="37">
      <c r="C37" s="32" t="s">
        <v>290</v>
      </c>
      <c r="D37" s="32" t="s">
        <v>291</v>
      </c>
      <c r="E37" s="32" t="s">
        <v>292</v>
      </c>
      <c r="F37" s="84" t="s">
        <v>178</v>
      </c>
    </row>
    <row r="38">
      <c r="C38" s="32" t="s">
        <v>293</v>
      </c>
      <c r="D38" s="32" t="s">
        <v>294</v>
      </c>
      <c r="E38" s="32" t="s">
        <v>295</v>
      </c>
      <c r="F38" s="33" t="s">
        <v>178</v>
      </c>
    </row>
  </sheetData>
  <mergeCells count="6">
    <mergeCell ref="B4:B7"/>
    <mergeCell ref="B8:B14"/>
    <mergeCell ref="B15:B21"/>
    <mergeCell ref="B22:B29"/>
    <mergeCell ref="B30:B34"/>
    <mergeCell ref="B35:B38"/>
  </mergeCell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</hyperlinks>
  <drawing r:id="rId3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46.0"/>
    <col customWidth="1" min="4" max="4" width="41.5"/>
  </cols>
  <sheetData>
    <row r="1">
      <c r="D1" s="14"/>
    </row>
    <row r="4">
      <c r="B4" s="1" t="s">
        <v>0</v>
      </c>
      <c r="C4" s="85" t="s">
        <v>296</v>
      </c>
      <c r="D4" s="85" t="s">
        <v>297</v>
      </c>
    </row>
    <row r="5">
      <c r="B5" s="86" t="s">
        <v>4</v>
      </c>
      <c r="C5" s="87" t="s">
        <v>175</v>
      </c>
      <c r="D5" s="88">
        <v>850.0</v>
      </c>
    </row>
    <row r="6">
      <c r="B6" s="89"/>
      <c r="C6" s="90" t="s">
        <v>298</v>
      </c>
      <c r="D6" s="91">
        <v>320.0</v>
      </c>
    </row>
    <row r="7">
      <c r="B7" s="89"/>
      <c r="C7" s="90" t="s">
        <v>5</v>
      </c>
      <c r="D7" s="91">
        <v>890.0</v>
      </c>
    </row>
    <row r="8">
      <c r="B8" s="89"/>
      <c r="C8" s="90" t="s">
        <v>11</v>
      </c>
      <c r="D8" s="91">
        <v>180.0</v>
      </c>
    </row>
    <row r="9">
      <c r="B9" s="89"/>
      <c r="C9" s="90" t="s">
        <v>14</v>
      </c>
      <c r="D9" s="91">
        <v>420.0</v>
      </c>
    </row>
    <row r="10">
      <c r="B10" s="89"/>
      <c r="C10" s="90" t="s">
        <v>299</v>
      </c>
      <c r="D10" s="91">
        <v>100.0</v>
      </c>
    </row>
    <row r="11">
      <c r="B11" s="89"/>
      <c r="C11" s="90" t="s">
        <v>300</v>
      </c>
      <c r="D11" s="91">
        <v>75.0</v>
      </c>
    </row>
    <row r="12">
      <c r="B12" s="89"/>
      <c r="C12" s="90" t="s">
        <v>301</v>
      </c>
      <c r="D12" s="91">
        <v>140.0</v>
      </c>
    </row>
    <row r="13">
      <c r="B13" s="89"/>
      <c r="C13" s="90" t="s">
        <v>302</v>
      </c>
      <c r="D13" s="91">
        <v>0.0</v>
      </c>
    </row>
    <row r="14">
      <c r="B14" s="89"/>
      <c r="C14" s="90" t="s">
        <v>303</v>
      </c>
      <c r="D14" s="91">
        <v>180.0</v>
      </c>
    </row>
    <row r="15">
      <c r="B15" s="89"/>
      <c r="C15" s="90" t="s">
        <v>179</v>
      </c>
      <c r="D15" s="91">
        <v>130.0</v>
      </c>
    </row>
    <row r="16">
      <c r="B16" s="89"/>
      <c r="C16" s="90" t="s">
        <v>304</v>
      </c>
      <c r="D16" s="91">
        <v>100.0</v>
      </c>
    </row>
    <row r="17">
      <c r="B17" s="92"/>
      <c r="C17" s="93" t="s">
        <v>305</v>
      </c>
      <c r="D17" s="94">
        <v>40.0</v>
      </c>
    </row>
    <row r="18">
      <c r="B18" s="95" t="s">
        <v>306</v>
      </c>
      <c r="C18" s="96" t="s">
        <v>24</v>
      </c>
      <c r="D18" s="97">
        <v>339.65</v>
      </c>
    </row>
    <row r="19">
      <c r="B19" s="89"/>
      <c r="C19" s="98" t="s">
        <v>307</v>
      </c>
      <c r="D19" s="99">
        <v>420.0</v>
      </c>
    </row>
    <row r="20">
      <c r="B20" s="89"/>
      <c r="C20" s="98" t="s">
        <v>308</v>
      </c>
      <c r="D20" s="99">
        <v>90.9</v>
      </c>
    </row>
    <row r="21">
      <c r="B21" s="89"/>
      <c r="C21" s="98" t="s">
        <v>309</v>
      </c>
      <c r="D21" s="99">
        <v>140.4</v>
      </c>
    </row>
    <row r="22">
      <c r="B22" s="89"/>
      <c r="C22" s="98" t="s">
        <v>310</v>
      </c>
      <c r="D22" s="99">
        <v>139.99</v>
      </c>
    </row>
    <row r="23">
      <c r="B23" s="89"/>
      <c r="C23" s="98" t="s">
        <v>190</v>
      </c>
      <c r="D23" s="99">
        <v>751.0</v>
      </c>
    </row>
    <row r="24">
      <c r="B24" s="89"/>
      <c r="C24" s="98" t="s">
        <v>311</v>
      </c>
      <c r="D24" s="99">
        <v>2312.0</v>
      </c>
    </row>
    <row r="25">
      <c r="B25" s="89"/>
      <c r="C25" s="98" t="s">
        <v>312</v>
      </c>
      <c r="D25" s="99">
        <v>285.0</v>
      </c>
    </row>
    <row r="26">
      <c r="B26" s="89"/>
      <c r="C26" s="98" t="s">
        <v>202</v>
      </c>
      <c r="D26" s="99">
        <v>195.0</v>
      </c>
    </row>
    <row r="27">
      <c r="B27" s="89"/>
      <c r="C27" s="98" t="s">
        <v>313</v>
      </c>
      <c r="D27" s="99">
        <v>650.0</v>
      </c>
    </row>
    <row r="28">
      <c r="B28" s="89"/>
      <c r="C28" s="98" t="s">
        <v>314</v>
      </c>
      <c r="D28" s="99">
        <v>89.0</v>
      </c>
    </row>
    <row r="29">
      <c r="B29" s="92"/>
      <c r="C29" s="100" t="s">
        <v>209</v>
      </c>
      <c r="D29" s="101">
        <v>35.0</v>
      </c>
    </row>
    <row r="30">
      <c r="B30" s="102" t="s">
        <v>34</v>
      </c>
      <c r="C30" s="103" t="s">
        <v>35</v>
      </c>
      <c r="D30" s="104">
        <v>399.0</v>
      </c>
    </row>
    <row r="31">
      <c r="B31" s="89"/>
      <c r="C31" s="105" t="s">
        <v>38</v>
      </c>
      <c r="D31" s="106">
        <v>95.3</v>
      </c>
    </row>
    <row r="32">
      <c r="B32" s="89"/>
      <c r="C32" s="105" t="s">
        <v>315</v>
      </c>
      <c r="D32" s="106">
        <v>27.0</v>
      </c>
    </row>
    <row r="33">
      <c r="B33" s="89"/>
      <c r="C33" s="105" t="s">
        <v>316</v>
      </c>
      <c r="D33" s="106">
        <v>39.99</v>
      </c>
    </row>
    <row r="34">
      <c r="B34" s="89"/>
      <c r="C34" s="105" t="s">
        <v>41</v>
      </c>
      <c r="D34" s="106">
        <v>124.99</v>
      </c>
    </row>
    <row r="35">
      <c r="B35" s="89"/>
      <c r="C35" s="105" t="s">
        <v>317</v>
      </c>
      <c r="D35" s="106">
        <v>67.2</v>
      </c>
    </row>
    <row r="36">
      <c r="B36" s="89"/>
      <c r="C36" s="105" t="s">
        <v>318</v>
      </c>
      <c r="D36" s="106">
        <v>299.0</v>
      </c>
    </row>
    <row r="37">
      <c r="B37" s="89"/>
      <c r="C37" s="105" t="s">
        <v>319</v>
      </c>
      <c r="D37" s="106">
        <v>890.0</v>
      </c>
    </row>
    <row r="38">
      <c r="B38" s="89"/>
      <c r="C38" s="105" t="s">
        <v>320</v>
      </c>
      <c r="D38" s="106">
        <v>245.0</v>
      </c>
    </row>
    <row r="39">
      <c r="B39" s="89"/>
      <c r="C39" s="105" t="s">
        <v>223</v>
      </c>
      <c r="D39" s="106">
        <v>520.0</v>
      </c>
    </row>
    <row r="40">
      <c r="B40" s="89"/>
      <c r="C40" s="105" t="s">
        <v>227</v>
      </c>
      <c r="D40" s="106">
        <v>165.0</v>
      </c>
    </row>
    <row r="41">
      <c r="B41" s="89"/>
      <c r="C41" s="105" t="s">
        <v>231</v>
      </c>
      <c r="D41" s="106">
        <v>78.0</v>
      </c>
    </row>
    <row r="42">
      <c r="B42" s="89"/>
      <c r="C42" s="105" t="s">
        <v>321</v>
      </c>
      <c r="D42" s="106">
        <v>350.0</v>
      </c>
    </row>
    <row r="43">
      <c r="B43" s="92"/>
      <c r="C43" s="107" t="s">
        <v>322</v>
      </c>
      <c r="D43" s="108">
        <v>149.0</v>
      </c>
    </row>
    <row r="44">
      <c r="B44" s="109" t="s">
        <v>50</v>
      </c>
      <c r="C44" s="110" t="s">
        <v>51</v>
      </c>
      <c r="D44" s="111">
        <v>249.99</v>
      </c>
    </row>
    <row r="45">
      <c r="B45" s="89"/>
      <c r="C45" s="112" t="s">
        <v>323</v>
      </c>
      <c r="D45" s="113">
        <v>420.0</v>
      </c>
    </row>
    <row r="46">
      <c r="B46" s="89"/>
      <c r="C46" s="112" t="s">
        <v>324</v>
      </c>
      <c r="D46" s="113">
        <v>320.0</v>
      </c>
    </row>
    <row r="47">
      <c r="B47" s="89"/>
      <c r="C47" s="112" t="s">
        <v>325</v>
      </c>
      <c r="D47" s="113">
        <v>285.0</v>
      </c>
    </row>
    <row r="48">
      <c r="B48" s="89"/>
      <c r="C48" s="112" t="s">
        <v>326</v>
      </c>
      <c r="D48" s="113">
        <v>189.0</v>
      </c>
    </row>
    <row r="49">
      <c r="B49" s="89"/>
      <c r="C49" s="112" t="s">
        <v>327</v>
      </c>
      <c r="D49" s="113">
        <v>245.0</v>
      </c>
    </row>
    <row r="50">
      <c r="B50" s="89"/>
      <c r="C50" s="112" t="s">
        <v>328</v>
      </c>
      <c r="D50" s="113">
        <v>165.0</v>
      </c>
    </row>
    <row r="51">
      <c r="B51" s="89"/>
      <c r="C51" s="112" t="s">
        <v>329</v>
      </c>
      <c r="D51" s="113">
        <v>95.0</v>
      </c>
    </row>
    <row r="52">
      <c r="B52" s="89"/>
      <c r="C52" s="114" t="s">
        <v>330</v>
      </c>
      <c r="D52" s="115">
        <v>178.0</v>
      </c>
    </row>
    <row r="53">
      <c r="B53" s="116" t="s">
        <v>93</v>
      </c>
      <c r="C53" s="28" t="s">
        <v>54</v>
      </c>
      <c r="D53" s="117">
        <v>869.0</v>
      </c>
    </row>
    <row r="54">
      <c r="C54" s="28" t="s">
        <v>58</v>
      </c>
      <c r="D54" s="118">
        <v>299.0</v>
      </c>
    </row>
    <row r="55">
      <c r="C55" s="28" t="s">
        <v>62</v>
      </c>
      <c r="D55" s="118">
        <v>152.0</v>
      </c>
    </row>
    <row r="56">
      <c r="C56" s="28" t="s">
        <v>66</v>
      </c>
      <c r="D56" s="118">
        <v>33.9</v>
      </c>
    </row>
    <row r="57">
      <c r="C57" s="28" t="s">
        <v>268</v>
      </c>
      <c r="D57" s="118">
        <v>123.49</v>
      </c>
    </row>
    <row r="58">
      <c r="C58" s="28" t="s">
        <v>271</v>
      </c>
      <c r="D58" s="118">
        <v>33.98</v>
      </c>
    </row>
    <row r="59">
      <c r="C59" s="28" t="s">
        <v>274</v>
      </c>
      <c r="D59" s="118">
        <v>38.99</v>
      </c>
    </row>
    <row r="60">
      <c r="C60" s="28" t="s">
        <v>278</v>
      </c>
      <c r="D60" s="118">
        <v>61.99</v>
      </c>
    </row>
    <row r="61">
      <c r="C61" s="28" t="s">
        <v>281</v>
      </c>
      <c r="D61" s="118">
        <v>98.89</v>
      </c>
    </row>
    <row r="62">
      <c r="B62" s="31" t="s">
        <v>114</v>
      </c>
      <c r="C62" s="32" t="s">
        <v>71</v>
      </c>
      <c r="D62" s="119">
        <v>3669.0</v>
      </c>
    </row>
    <row r="63">
      <c r="C63" s="32" t="s">
        <v>75</v>
      </c>
      <c r="D63" s="119">
        <v>293.55</v>
      </c>
    </row>
    <row r="64">
      <c r="C64" s="32" t="s">
        <v>79</v>
      </c>
      <c r="D64" s="119">
        <v>1791.89</v>
      </c>
    </row>
    <row r="65">
      <c r="C65" s="32" t="s">
        <v>82</v>
      </c>
      <c r="D65" s="119">
        <v>82.61</v>
      </c>
    </row>
    <row r="66">
      <c r="C66" s="32" t="s">
        <v>85</v>
      </c>
      <c r="D66" s="119">
        <v>0.0</v>
      </c>
    </row>
    <row r="67">
      <c r="C67" s="32" t="s">
        <v>284</v>
      </c>
      <c r="D67" s="119">
        <v>1940.16</v>
      </c>
    </row>
    <row r="68">
      <c r="C68" s="32" t="s">
        <v>287</v>
      </c>
      <c r="D68" s="119">
        <v>132.99</v>
      </c>
    </row>
    <row r="69">
      <c r="C69" s="32" t="s">
        <v>290</v>
      </c>
      <c r="D69" s="119">
        <v>51.25</v>
      </c>
    </row>
    <row r="70">
      <c r="C70" s="32" t="s">
        <v>293</v>
      </c>
      <c r="D70" s="119">
        <v>110.83</v>
      </c>
    </row>
    <row r="74">
      <c r="D74" s="85" t="s">
        <v>331</v>
      </c>
    </row>
    <row r="75">
      <c r="D75" s="120">
        <f>SUM(D5:D70)</f>
        <v>24252.93</v>
      </c>
    </row>
  </sheetData>
  <mergeCells count="6">
    <mergeCell ref="B5:B17"/>
    <mergeCell ref="B18:B29"/>
    <mergeCell ref="B30:B43"/>
    <mergeCell ref="B44:B52"/>
    <mergeCell ref="B53:B61"/>
    <mergeCell ref="B62:B70"/>
  </mergeCells>
  <drawing r:id="rId1"/>
</worksheet>
</file>